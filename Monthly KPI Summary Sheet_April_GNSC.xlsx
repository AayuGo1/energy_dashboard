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handra.prakash5\OneDrive - Jubilant Pharmova\Desktop\"/>
    </mc:Choice>
  </mc:AlternateContent>
  <bookViews>
    <workbookView xWindow="0" yWindow="0" windowWidth="23040" windowHeight="9072" activeTab="1"/>
  </bookViews>
  <sheets>
    <sheet name="H&amp;S" sheetId="1" r:id="rId1"/>
    <sheet name="Environment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0" i="4" l="1"/>
  <c r="Q39" i="4" l="1"/>
  <c r="Q21" i="4" l="1"/>
  <c r="P34" i="1"/>
  <c r="O11" i="1"/>
  <c r="P21" i="1"/>
  <c r="Q4" i="4" l="1"/>
  <c r="Q5" i="4"/>
  <c r="Q6" i="4"/>
  <c r="S6" i="4" s="1"/>
  <c r="U6" i="4" s="1"/>
  <c r="Q7" i="4"/>
  <c r="Q8" i="4"/>
  <c r="Q9" i="4"/>
  <c r="Q10" i="4"/>
  <c r="Q13" i="4"/>
  <c r="Q14" i="4"/>
  <c r="Q15" i="4"/>
  <c r="Q16" i="4"/>
  <c r="Q17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" i="4"/>
  <c r="P4" i="1"/>
  <c r="Q4" i="1" s="1"/>
  <c r="P5" i="1"/>
  <c r="Q5" i="1" s="1"/>
  <c r="P6" i="1"/>
  <c r="Q6" i="1" s="1"/>
  <c r="P7" i="1"/>
  <c r="Q7" i="1" s="1"/>
  <c r="P8" i="1"/>
  <c r="P9" i="1"/>
  <c r="P10" i="1"/>
  <c r="P12" i="1"/>
  <c r="P13" i="1"/>
  <c r="P14" i="1"/>
  <c r="P15" i="1"/>
  <c r="P16" i="1"/>
  <c r="P17" i="1"/>
  <c r="R17" i="1" s="1"/>
  <c r="P19" i="1"/>
  <c r="P20" i="1"/>
  <c r="P23" i="1"/>
  <c r="P24" i="1"/>
  <c r="P25" i="1"/>
  <c r="P3" i="1"/>
  <c r="Q3" i="1" s="1"/>
  <c r="E38" i="4" l="1"/>
  <c r="E19" i="4"/>
  <c r="D18" i="1"/>
  <c r="F11" i="4" l="1"/>
  <c r="G11" i="4"/>
  <c r="G12" i="4" s="1"/>
  <c r="H11" i="4"/>
  <c r="H12" i="4" s="1"/>
  <c r="I11" i="4"/>
  <c r="I12" i="4" s="1"/>
  <c r="J11" i="4"/>
  <c r="J12" i="4" s="1"/>
  <c r="K11" i="4"/>
  <c r="K12" i="4" s="1"/>
  <c r="L11" i="4"/>
  <c r="L12" i="4" s="1"/>
  <c r="M11" i="4"/>
  <c r="N11" i="4"/>
  <c r="N12" i="4" s="1"/>
  <c r="O11" i="4"/>
  <c r="O12" i="4" s="1"/>
  <c r="P11" i="4"/>
  <c r="P12" i="4" s="1"/>
  <c r="F12" i="4"/>
  <c r="F18" i="4"/>
  <c r="F21" i="4" s="1"/>
  <c r="G18" i="4"/>
  <c r="G21" i="4" s="1"/>
  <c r="H18" i="4"/>
  <c r="H21" i="4" s="1"/>
  <c r="I18" i="4"/>
  <c r="I21" i="4" s="1"/>
  <c r="J18" i="4"/>
  <c r="K18" i="4"/>
  <c r="K21" i="4" s="1"/>
  <c r="L18" i="4"/>
  <c r="L21" i="4" s="1"/>
  <c r="M18" i="4"/>
  <c r="M21" i="4" s="1"/>
  <c r="N18" i="4"/>
  <c r="N21" i="4" s="1"/>
  <c r="O18" i="4"/>
  <c r="P18" i="4"/>
  <c r="P21" i="4" s="1"/>
  <c r="F19" i="4"/>
  <c r="F20" i="4" s="1"/>
  <c r="G19" i="4"/>
  <c r="G20" i="4" s="1"/>
  <c r="H19" i="4"/>
  <c r="H20" i="4" s="1"/>
  <c r="I19" i="4"/>
  <c r="I20" i="4" s="1"/>
  <c r="J19" i="4"/>
  <c r="J20" i="4" s="1"/>
  <c r="K19" i="4"/>
  <c r="K20" i="4" s="1"/>
  <c r="L19" i="4"/>
  <c r="L20" i="4" s="1"/>
  <c r="M19" i="4"/>
  <c r="M20" i="4" s="1"/>
  <c r="N19" i="4"/>
  <c r="N20" i="4" s="1"/>
  <c r="O19" i="4"/>
  <c r="P19" i="4"/>
  <c r="P20" i="4" s="1"/>
  <c r="J21" i="4"/>
  <c r="F38" i="4"/>
  <c r="G38" i="4"/>
  <c r="H38" i="4"/>
  <c r="I38" i="4"/>
  <c r="J38" i="4"/>
  <c r="K38" i="4"/>
  <c r="L38" i="4"/>
  <c r="M38" i="4"/>
  <c r="N38" i="4"/>
  <c r="O38" i="4"/>
  <c r="P38" i="4"/>
  <c r="F39" i="4"/>
  <c r="F40" i="4" s="1"/>
  <c r="G39" i="4"/>
  <c r="G40" i="4" s="1"/>
  <c r="H39" i="4"/>
  <c r="H40" i="4" s="1"/>
  <c r="I39" i="4"/>
  <c r="I40" i="4" s="1"/>
  <c r="J39" i="4"/>
  <c r="J40" i="4" s="1"/>
  <c r="K39" i="4"/>
  <c r="K40" i="4" s="1"/>
  <c r="L39" i="4"/>
  <c r="L40" i="4" s="1"/>
  <c r="M39" i="4"/>
  <c r="N39" i="4"/>
  <c r="N40" i="4" s="1"/>
  <c r="O39" i="4"/>
  <c r="O40" i="4" s="1"/>
  <c r="P39" i="4"/>
  <c r="P40" i="4" s="1"/>
  <c r="E11" i="1"/>
  <c r="E31" i="1" s="1"/>
  <c r="F11" i="1"/>
  <c r="F30" i="1" s="1"/>
  <c r="G11" i="1"/>
  <c r="G31" i="1" s="1"/>
  <c r="H31" i="1"/>
  <c r="I11" i="1"/>
  <c r="J11" i="1"/>
  <c r="J30" i="1" s="1"/>
  <c r="K11" i="1"/>
  <c r="K31" i="1" s="1"/>
  <c r="L11" i="1"/>
  <c r="L30" i="1" s="1"/>
  <c r="M11" i="1"/>
  <c r="M31" i="1" s="1"/>
  <c r="N11" i="1"/>
  <c r="N31" i="1" s="1"/>
  <c r="O31" i="1"/>
  <c r="E18" i="1"/>
  <c r="F18" i="1"/>
  <c r="F37" i="1" s="1"/>
  <c r="G18" i="1"/>
  <c r="G37" i="1" s="1"/>
  <c r="H18" i="1"/>
  <c r="H37" i="1" s="1"/>
  <c r="I18" i="1"/>
  <c r="I37" i="1" s="1"/>
  <c r="J18" i="1"/>
  <c r="J37" i="1" s="1"/>
  <c r="K18" i="1"/>
  <c r="K37" i="1" s="1"/>
  <c r="L18" i="1"/>
  <c r="L37" i="1" s="1"/>
  <c r="M18" i="1"/>
  <c r="M37" i="1" s="1"/>
  <c r="N18" i="1"/>
  <c r="N37" i="1" s="1"/>
  <c r="O18" i="1"/>
  <c r="O37" i="1" s="1"/>
  <c r="E22" i="1"/>
  <c r="E27" i="1" s="1"/>
  <c r="F22" i="1"/>
  <c r="G22" i="1"/>
  <c r="G28" i="1" s="1"/>
  <c r="H26" i="1"/>
  <c r="I22" i="1"/>
  <c r="I27" i="1" s="1"/>
  <c r="J22" i="1"/>
  <c r="J28" i="1" s="1"/>
  <c r="K22" i="1"/>
  <c r="K28" i="1" s="1"/>
  <c r="L22" i="1"/>
  <c r="L28" i="1" s="1"/>
  <c r="M22" i="1"/>
  <c r="M28" i="1" s="1"/>
  <c r="N22" i="1"/>
  <c r="N27" i="1" s="1"/>
  <c r="O22" i="1"/>
  <c r="O27" i="1" s="1"/>
  <c r="H27" i="1"/>
  <c r="H28" i="1"/>
  <c r="E29" i="1"/>
  <c r="F29" i="1"/>
  <c r="G29" i="1"/>
  <c r="H29" i="1"/>
  <c r="I29" i="1"/>
  <c r="J29" i="1"/>
  <c r="K29" i="1"/>
  <c r="L29" i="1"/>
  <c r="M29" i="1"/>
  <c r="N29" i="1"/>
  <c r="O29" i="1"/>
  <c r="H30" i="1"/>
  <c r="I30" i="1"/>
  <c r="I31" i="1"/>
  <c r="J31" i="1"/>
  <c r="E32" i="1"/>
  <c r="F32" i="1"/>
  <c r="G32" i="1"/>
  <c r="H32" i="1"/>
  <c r="I32" i="1"/>
  <c r="J32" i="1"/>
  <c r="K32" i="1"/>
  <c r="L32" i="1"/>
  <c r="M32" i="1"/>
  <c r="N32" i="1"/>
  <c r="O32" i="1"/>
  <c r="E33" i="1"/>
  <c r="F33" i="1"/>
  <c r="G33" i="1"/>
  <c r="H33" i="1"/>
  <c r="I33" i="1"/>
  <c r="J33" i="1"/>
  <c r="K33" i="1"/>
  <c r="L33" i="1"/>
  <c r="M33" i="1"/>
  <c r="N33" i="1"/>
  <c r="O33" i="1"/>
  <c r="K34" i="1"/>
  <c r="L34" i="1"/>
  <c r="M34" i="1"/>
  <c r="N34" i="1"/>
  <c r="O34" i="1"/>
  <c r="E35" i="1"/>
  <c r="F35" i="1"/>
  <c r="G35" i="1"/>
  <c r="H35" i="1"/>
  <c r="I35" i="1"/>
  <c r="J35" i="1"/>
  <c r="K35" i="1"/>
  <c r="L35" i="1"/>
  <c r="M35" i="1"/>
  <c r="N35" i="1"/>
  <c r="O35" i="1"/>
  <c r="E36" i="1"/>
  <c r="F36" i="1"/>
  <c r="G36" i="1"/>
  <c r="H36" i="1"/>
  <c r="I36" i="1"/>
  <c r="J36" i="1"/>
  <c r="K36" i="1"/>
  <c r="L36" i="1"/>
  <c r="M36" i="1"/>
  <c r="N36" i="1"/>
  <c r="O36" i="1"/>
  <c r="Q38" i="4" l="1"/>
  <c r="O21" i="4"/>
  <c r="O20" i="4"/>
  <c r="Q19" i="4"/>
  <c r="Q20" i="4" s="1"/>
  <c r="M40" i="4"/>
  <c r="M12" i="4"/>
  <c r="G30" i="1"/>
  <c r="P18" i="1"/>
  <c r="E30" i="1"/>
  <c r="L31" i="1"/>
  <c r="G34" i="1"/>
  <c r="F34" i="1"/>
  <c r="F31" i="1"/>
  <c r="G27" i="1"/>
  <c r="G26" i="1"/>
  <c r="J34" i="1"/>
  <c r="I34" i="1"/>
  <c r="I28" i="1"/>
  <c r="K30" i="1"/>
  <c r="H34" i="1"/>
  <c r="E34" i="1"/>
  <c r="E37" i="1"/>
  <c r="F26" i="1"/>
  <c r="F27" i="1"/>
  <c r="F28" i="1"/>
  <c r="E28" i="1"/>
  <c r="N26" i="1"/>
  <c r="O28" i="1"/>
  <c r="M26" i="1"/>
  <c r="N28" i="1"/>
  <c r="L26" i="1"/>
  <c r="L27" i="1"/>
  <c r="E26" i="1"/>
  <c r="O26" i="1"/>
  <c r="M27" i="1"/>
  <c r="O30" i="1"/>
  <c r="K26" i="1"/>
  <c r="N30" i="1"/>
  <c r="K27" i="1"/>
  <c r="J26" i="1"/>
  <c r="M30" i="1"/>
  <c r="J27" i="1"/>
  <c r="I26" i="1"/>
  <c r="E39" i="4"/>
  <c r="E20" i="4"/>
  <c r="E18" i="4"/>
  <c r="E21" i="4" l="1"/>
  <c r="Q18" i="4"/>
  <c r="E40" i="4"/>
  <c r="E11" i="4"/>
  <c r="E12" i="4" s="1"/>
  <c r="Q12" i="4" s="1"/>
  <c r="D36" i="1" l="1"/>
  <c r="P36" i="1" s="1"/>
  <c r="D35" i="1"/>
  <c r="P35" i="1" s="1"/>
  <c r="D22" i="1"/>
  <c r="D37" i="1"/>
  <c r="P37" i="1" s="1"/>
  <c r="D11" i="1"/>
  <c r="D33" i="1"/>
  <c r="P33" i="1" s="1"/>
  <c r="D32" i="1"/>
  <c r="P32" i="1" s="1"/>
  <c r="D29" i="1"/>
  <c r="P29" i="1" s="1"/>
  <c r="D26" i="1" l="1"/>
  <c r="P26" i="1" s="1"/>
  <c r="P22" i="1"/>
  <c r="D30" i="1"/>
  <c r="P30" i="1" s="1"/>
  <c r="P11" i="1"/>
  <c r="D34" i="1"/>
  <c r="D28" i="1"/>
  <c r="P28" i="1" s="1"/>
  <c r="D27" i="1"/>
  <c r="P27" i="1" s="1"/>
  <c r="D31" i="1"/>
  <c r="P31" i="1" s="1"/>
</calcChain>
</file>

<file path=xl/sharedStrings.xml><?xml version="1.0" encoding="utf-8"?>
<sst xmlns="http://schemas.openxmlformats.org/spreadsheetml/2006/main" count="115" uniqueCount="111">
  <si>
    <t>HEALTH &amp; SAFETY MONTHLY KPI - 2025-2026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</si>
  <si>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</si>
  <si>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</si>
  <si>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</si>
  <si>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</si>
  <si>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</si>
  <si>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</si>
  <si>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</si>
  <si>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</si>
  <si>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</si>
  <si>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</si>
  <si>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</si>
  <si>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</si>
  <si>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YTD</t>
  </si>
  <si>
    <t>BU</t>
  </si>
  <si>
    <t>Lagging Indicators</t>
  </si>
  <si>
    <t>Fatalities</t>
  </si>
  <si>
    <t>Fatalities (non-work related)</t>
  </si>
  <si>
    <t>Lost Time Injury</t>
  </si>
  <si>
    <t>Restricted work case (RWC)</t>
  </si>
  <si>
    <t>Offsite Medical Treatment (Treatment Beyond First Aid)</t>
  </si>
  <si>
    <t>First Aid Accident</t>
  </si>
  <si>
    <t>Significant Near Miss</t>
  </si>
  <si>
    <t>NA</t>
  </si>
  <si>
    <t>Leading Indicators</t>
  </si>
  <si>
    <t>Near miss</t>
  </si>
  <si>
    <t>UA/UC Obsevations - Total number</t>
  </si>
  <si>
    <t>Unsafe Conditions - Total number</t>
  </si>
  <si>
    <t>Unsafe Act - Total Number</t>
  </si>
  <si>
    <t>UA/UC - Number of different people who completed an observation</t>
  </si>
  <si>
    <t>UA/UC - Number of people who are required to submit an observation</t>
  </si>
  <si>
    <t>Total UA/UC Targeted to Close for the month</t>
  </si>
  <si>
    <t>Total UA/UC actually Closed for the month</t>
  </si>
  <si>
    <t>Safety hours trained</t>
  </si>
  <si>
    <t>Safety hours trained - Permanent Employee</t>
  </si>
  <si>
    <t>Safety hours trained - Contractors</t>
  </si>
  <si>
    <t>Normalized Metrics</t>
  </si>
  <si>
    <t>Number of workers - HR</t>
  </si>
  <si>
    <t>Employee hours worked - HR</t>
  </si>
  <si>
    <t>Employee hours worked - Permanent Employee (HR)</t>
  </si>
  <si>
    <t>Employee hours worked - Contractors (HR)</t>
  </si>
  <si>
    <t>Employee days lost due to a LTI</t>
  </si>
  <si>
    <t xml:space="preserve">Health &amp; Safety KPIs </t>
  </si>
  <si>
    <t>Lost Time Injury frequency rate</t>
  </si>
  <si>
    <t>Total recordable frequency rate</t>
  </si>
  <si>
    <t>Near Miss Frequency Rate</t>
  </si>
  <si>
    <t>Safety observation worker involvement % [%]</t>
  </si>
  <si>
    <t>% Behaviour related observations of total UA/UC reported [%]</t>
  </si>
  <si>
    <t>% Condition related observations of total UA/UC reported [%]</t>
  </si>
  <si>
    <t>% of UA/UC Closure</t>
  </si>
  <si>
    <t>Total recordable accidents</t>
  </si>
  <si>
    <t>% Safety Hours Trained Per Man Hours Worked [%]</t>
  </si>
  <si>
    <t>% Safety Hours Trained Per Man Hours Worked - Permanent Employee [%]</t>
  </si>
  <si>
    <t>% Safety Hours Trained Per Man Hours Worked - Contractors [%]</t>
  </si>
  <si>
    <t>Safety Hours Trained Per Employee</t>
  </si>
  <si>
    <t>ENVIRONMENT MONTHLY KPI 2025-2026</t>
  </si>
  <si>
    <t>Target</t>
  </si>
  <si>
    <t>Production</t>
  </si>
  <si>
    <t>Production Volume - Gross Weight [Gross Weight (t Metric)]</t>
  </si>
  <si>
    <t>Energy</t>
  </si>
  <si>
    <t>Direct energy usage</t>
  </si>
  <si>
    <t>Diesel Usage [L]</t>
  </si>
  <si>
    <t>LPG Usage [KG]</t>
  </si>
  <si>
    <t>PNG Usage [SCM] - Standard Cubin Meter</t>
  </si>
  <si>
    <t>KG LPG</t>
  </si>
  <si>
    <t>Tonne</t>
  </si>
  <si>
    <t>Indirect energy usage</t>
  </si>
  <si>
    <t>Energy from purchased grid electricity [kWh]</t>
  </si>
  <si>
    <t>Energy from purchased renewable electricity with certificates [kWh]</t>
  </si>
  <si>
    <t>Energy from purchased renewable electricity via PPA [kWh]</t>
  </si>
  <si>
    <t>Energy from renewable electricity generated and used on-site [kWh]</t>
  </si>
  <si>
    <t>Energy KPIs</t>
  </si>
  <si>
    <t>Total energy consumption [kWh]</t>
  </si>
  <si>
    <t xml:space="preserve">Energy per Tonnage KPI's </t>
  </si>
  <si>
    <t>Total energy consumption [kWh/Gross Weight (t Metric)]</t>
  </si>
  <si>
    <t>Water</t>
  </si>
  <si>
    <t>Water consumption</t>
  </si>
  <si>
    <t>Water from public / municipal supply [m³]</t>
  </si>
  <si>
    <t>Ground water abstracted from wells [m³]</t>
  </si>
  <si>
    <t>Water from surface water (rivers, lakes, lagoons) [m³]</t>
  </si>
  <si>
    <t>Water used from 'other' sources [m³] (Water Tankers)</t>
  </si>
  <si>
    <t>Water re-used / re-cycled [m³]</t>
  </si>
  <si>
    <t xml:space="preserve">Water consumption KPIs </t>
  </si>
  <si>
    <t>Total water withdrawal [m³]</t>
  </si>
  <si>
    <t>Gross water consumption [m³]</t>
  </si>
  <si>
    <t>% water re-used / recycled [%]</t>
  </si>
  <si>
    <t>Total water withdrawal  [m³/Gross Weight (t Metric)]</t>
  </si>
  <si>
    <t>Water discharge</t>
  </si>
  <si>
    <t>Wastewater discharged to municipal or third party treatment via sewer (treated on site) [m³]</t>
  </si>
  <si>
    <t>Wastewater discharged to municipal or third party treatment via sewer (untreated) [m³]</t>
  </si>
  <si>
    <t>Wastewater discharged directly to surface water (treated) [m³]</t>
  </si>
  <si>
    <t>Wastewater discharged directly to surface water (untreated) [m³]</t>
  </si>
  <si>
    <t>Wastewater Tankered off site (treated on site) [m³]</t>
  </si>
  <si>
    <t>Wastewater Tankered off site (not treated on site) [m³]</t>
  </si>
  <si>
    <t>Waste</t>
  </si>
  <si>
    <t>Non-hazardous waste</t>
  </si>
  <si>
    <t>Non-hazardous waste recycled [kg]</t>
  </si>
  <si>
    <t>Non-hazardous waste reused [kg]</t>
  </si>
  <si>
    <t>Non-hazardous waste sent to landfill [kg]</t>
  </si>
  <si>
    <t>Non-hazardous waste sent for incineration  [kg]</t>
  </si>
  <si>
    <t>Non-hazardous waste composting [kg]</t>
  </si>
  <si>
    <t>Hazardous waste</t>
  </si>
  <si>
    <t>Hazardous waste recycled [kg]</t>
  </si>
  <si>
    <t>Hazardous waste reused [kg]</t>
  </si>
  <si>
    <t>Hazardous waste sent to landfill [kg]</t>
  </si>
  <si>
    <t>Hazardous waste sent for incineration [kg] - Cotton Waste, Oil Soaked Cotton, Oily Gloves, Oily Sludge</t>
  </si>
  <si>
    <t>Biomedical waste sent for incineration [kg]</t>
  </si>
  <si>
    <t>Waste KPIs</t>
  </si>
  <si>
    <t>Total waste [t (metric)]</t>
  </si>
  <si>
    <t>Total waste [kg]</t>
  </si>
  <si>
    <t>Total waste per t(Metrics) [kg/Gross Weight (t Metric)]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</si>
</sst>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theme="1"/>
      <name val="Verdana"/>
      <family val="2"/>
    </font>
    <font>
      <sz val="11"/>
      <color theme="1"/>
      <name val="Calibri"/>
      <family val="2"/>
      <scheme val="minor"/>
    </font>
    <font>
      <b/>
      <sz val="8"/>
      <color theme="0"/>
      <name val="Verdana"/>
      <family val="2"/>
    </font>
    <font>
      <b/>
      <sz val="11"/>
      <color theme="0"/>
      <name val="Verdana"/>
      <family val="2"/>
    </font>
    <font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sz val="9"/>
      <color theme="0"/>
      <name val="Verdana"/>
      <family val="2"/>
    </font>
    <font>
      <b/>
      <sz val="10"/>
      <name val="Verdana"/>
      <family val="2"/>
    </font>
    <font>
      <sz val="10"/>
      <color theme="1"/>
      <name val="Verdana"/>
      <family val="2"/>
    </font>
    <font>
      <b/>
      <sz val="8"/>
      <color theme="1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17" fontId="4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0" fontId="2" fillId="2" borderId="1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" fontId="8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9" fontId="2" fillId="0" borderId="0" xfId="1" applyFont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0" fontId="7" fillId="7" borderId="1" xfId="1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left" vertical="center" indent="2"/>
    </xf>
    <xf numFmtId="9" fontId="7" fillId="0" borderId="1" xfId="0" applyNumberFormat="1" applyFont="1" applyBorder="1" applyAlignment="1">
      <alignment horizontal="center" vertical="center"/>
    </xf>
    <xf numFmtId="9" fontId="7" fillId="8" borderId="1" xfId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1" fillId="0" borderId="0" xfId="1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Lagging Indicators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'H&amp;S'!$C$3</c:f>
              <c:strCache>
                <c:ptCount val="1"/>
                <c:pt idx="0">
                  <c:v>Fatalities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'H&amp;S'!$D$3:$P$3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E-4597-87AC-4D5099A720D4}"/>
            </c:ext>
          </c:extLst>
        </c:ser>
        <c:ser>
          <c:idx val="1"/>
          <c:order val="1"/>
          <c:tx>
            <c:strRef>
              <c:f>'H&amp;S'!$C$4</c:f>
              <c:strCache>
                <c:ptCount val="1"/>
                <c:pt idx="0">
                  <c:v>Fatalities (non-work related)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'H&amp;S'!$D$4:$P$4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2E-4597-87AC-4D5099A720D4}"/>
            </c:ext>
          </c:extLst>
        </c:ser>
        <c:ser>
          <c:idx val="2"/>
          <c:order val="2"/>
          <c:tx>
            <c:strRef>
              <c:f>'H&amp;S'!$C$5</c:f>
              <c:strCache>
                <c:ptCount val="1"/>
                <c:pt idx="0">
                  <c:v>Lost Time Injury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'H&amp;S'!$D$5:$P$5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2E-4597-87AC-4D5099A720D4}"/>
            </c:ext>
          </c:extLst>
        </c:ser>
        <c:ser>
          <c:idx val="3"/>
          <c:order val="3"/>
          <c:tx>
            <c:strRef>
              <c:f>'H&amp;S'!$C$6</c:f>
              <c:strCache>
                <c:ptCount val="1"/>
                <c:pt idx="0">
                  <c:v>Restricted work case (RWC)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'H&amp;S'!$D$6:$P$6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2E-4597-87AC-4D5099A720D4}"/>
            </c:ext>
          </c:extLst>
        </c:ser>
        <c:ser>
          <c:idx val="4"/>
          <c:order val="4"/>
          <c:tx>
            <c:strRef>
              <c:f>'H&amp;S'!$C$7</c:f>
              <c:strCache>
                <c:ptCount val="1"/>
                <c:pt idx="0">
                  <c:v>Offsite Medical Treatment (Treatment Beyond First Aid)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'H&amp;S'!$D$7:$P$7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2E-4597-87AC-4D5099A720D4}"/>
            </c:ext>
          </c:extLst>
        </c:ser>
        <c:ser>
          <c:idx val="5"/>
          <c:order val="5"/>
          <c:tx>
            <c:strRef>
              <c:f>'H&amp;S'!$C$8</c:f>
              <c:strCache>
                <c:ptCount val="1"/>
                <c:pt idx="0">
                  <c:v>First Aid Accident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'H&amp;S'!$D$8:$P$8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2E-4597-87AC-4D5099A720D4}"/>
            </c:ext>
          </c:extLst>
        </c:ser>
        <c:ser>
          <c:idx val="6"/>
          <c:order val="6"/>
          <c:tx>
            <c:strRef>
              <c:f>'H&amp;S'!$C$9</c:f>
              <c:strCache>
                <c:ptCount val="1"/>
                <c:pt idx="0">
                  <c:v>Significant Near Miss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'H&amp;S'!$D$9:$P$9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2E-4597-87AC-4D5099A72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678656"/>
        <c:axId val="464678328"/>
      </c:barChart>
      <c:catAx>
        <c:axId val="4646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678328"/>
        <c:crosses val="autoZero"/>
        <c:auto val="1"/>
        <c:lblAlgn val="ctr"/>
        <c:lblOffset val="100"/>
        <c:noMultiLvlLbl val="0"/>
      </c:catAx>
      <c:valAx>
        <c:axId val="464678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46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Leading Indicators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'H&amp;S'!$C$10</c:f>
              <c:strCache>
                <c:ptCount val="1"/>
                <c:pt idx="0">
                  <c:v>Near miss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'H&amp;S'!$D$10:$P$10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1-497D-8CAE-24576A19FC20}"/>
            </c:ext>
          </c:extLst>
        </c:ser>
        <c:ser>
          <c:idx val="1"/>
          <c:order val="1"/>
          <c:tx>
            <c:strRef>
              <c:f>'H&amp;S'!$C$11</c:f>
              <c:strCache>
                <c:ptCount val="1"/>
                <c:pt idx="0">
                  <c:v>UA/UC Obsevations - Total number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'H&amp;S'!$D$11:$P$11</c:f>
              <c:numCache>
                <c:formatCode>General</c:formatCode>
                <c:ptCount val="13"/>
                <c:pt idx="0">
                  <c:v>345</c:v>
                </c:pt>
                <c:pt idx="1">
                  <c:v>228</c:v>
                </c:pt>
                <c:pt idx="2">
                  <c:v>302</c:v>
                </c:pt>
                <c:pt idx="3">
                  <c:v>308</c:v>
                </c:pt>
                <c:pt idx="4">
                  <c:v>198</c:v>
                </c:pt>
                <c:pt idx="5">
                  <c:v>230</c:v>
                </c:pt>
                <c:pt idx="6">
                  <c:v>246</c:v>
                </c:pt>
                <c:pt idx="7">
                  <c:v>126</c:v>
                </c:pt>
                <c:pt idx="8">
                  <c:v>316</c:v>
                </c:pt>
                <c:pt idx="9">
                  <c:v>266</c:v>
                </c:pt>
                <c:pt idx="10">
                  <c:v>506</c:v>
                </c:pt>
                <c:pt idx="11">
                  <c:v>198</c:v>
                </c:pt>
                <c:pt idx="12">
                  <c:v>3269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D61-497D-8CAE-24576A19F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678656"/>
        <c:axId val="464678328"/>
      </c:barChart>
      <c:catAx>
        <c:axId val="4646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678328"/>
        <c:crosses val="autoZero"/>
        <c:auto val="1"/>
        <c:lblAlgn val="ctr"/>
        <c:lblOffset val="100"/>
        <c:noMultiLvlLbl val="0"/>
      </c:catAx>
      <c:valAx>
        <c:axId val="464678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46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Leading Indicators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'H&amp;S'!$C$10</c:f>
              <c:strCache>
                <c:ptCount val="1"/>
                <c:pt idx="0">
                  <c:v>Near miss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'H&amp;S'!$D$10:$P$10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D-43CC-B370-37B14CCD6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678656"/>
        <c:axId val="464678328"/>
      </c:barChart>
      <c:catAx>
        <c:axId val="4646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678328"/>
        <c:crosses val="autoZero"/>
        <c:auto val="1"/>
        <c:lblAlgn val="ctr"/>
        <c:lblOffset val="100"/>
        <c:noMultiLvlLbl val="0"/>
      </c:catAx>
      <c:valAx>
        <c:axId val="464678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46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UA/UC Reporting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'H&amp;S'!$C$11</c:f>
              <c:strCache>
                <c:ptCount val="1"/>
                <c:pt idx="0">
                  <c:v>UA/UC Obsevations - Total number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775-40C1-ABB5-7706DD25602B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775-40C1-ABB5-7706DD25602B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775-40C1-ABB5-7706DD25602B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775-40C1-ABB5-7706DD25602B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775-40C1-ABB5-7706DD25602B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775-40C1-ABB5-7706DD2560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'H&amp;S'!$D$2:$M$2</c:f>
              <c:strCache>
                <c:ptCount val="10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</c:strCache>
            </c:strRef>
          </c:cat>
          <c:val>
            <c:numRef>
              <c:f>'H&amp;S'!$D$11:$M$11</c:f>
              <c:numCache>
                <c:formatCode>General</c:formatCode>
                <c:ptCount val="10"/>
                <c:pt idx="0">
                  <c:v>345</c:v>
                </c:pt>
                <c:pt idx="1">
                  <c:v>228</c:v>
                </c:pt>
                <c:pt idx="2">
                  <c:v>302</c:v>
                </c:pt>
                <c:pt idx="3">
                  <c:v>308</c:v>
                </c:pt>
                <c:pt idx="4">
                  <c:v>198</c:v>
                </c:pt>
                <c:pt idx="5">
                  <c:v>230</c:v>
                </c:pt>
                <c:pt idx="6">
                  <c:v>246</c:v>
                </c:pt>
                <c:pt idx="7">
                  <c:v>126</c:v>
                </c:pt>
                <c:pt idx="8">
                  <c:v>316</c:v>
                </c:pt>
                <c:pt idx="9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5-40C1-ABB5-7706DD256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678656"/>
        <c:axId val="464678328"/>
      </c:barChart>
      <c:catAx>
        <c:axId val="4646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678328"/>
        <c:crosses val="autoZero"/>
        <c:auto val="1"/>
        <c:lblAlgn val="ctr"/>
        <c:lblOffset val="100"/>
        <c:noMultiLvlLbl val="0"/>
      </c:catAx>
      <c:valAx>
        <c:axId val="464678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46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33866</xdr:colOff>
      <xdr:row>0</xdr:row>
      <xdr:rowOff>381007</xdr:rowOff>
    </xdr:from>
    <xdr:to>
      <xdr:col>27</xdr:col>
      <xdr:colOff>84666</xdr:colOff>
      <xdr:row>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169333</xdr:colOff>
      <xdr:row>9</xdr:row>
      <xdr:rowOff>110066</xdr:rowOff>
    </xdr:from>
    <xdr:to>
      <xdr:col>24</xdr:col>
      <xdr:colOff>220133</xdr:colOff>
      <xdr:row>17</xdr:row>
      <xdr:rowOff>211659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262466</xdr:colOff>
      <xdr:row>9</xdr:row>
      <xdr:rowOff>127000</xdr:rowOff>
    </xdr:from>
    <xdr:to>
      <xdr:col>30</xdr:col>
      <xdr:colOff>313266</xdr:colOff>
      <xdr:row>17</xdr:row>
      <xdr:rowOff>228593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169333</xdr:colOff>
      <xdr:row>18</xdr:row>
      <xdr:rowOff>8466</xdr:rowOff>
    </xdr:from>
    <xdr:to>
      <xdr:col>24</xdr:col>
      <xdr:colOff>220133</xdr:colOff>
      <xdr:row>26</xdr:row>
      <xdr:rowOff>110059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50"/>
  <sheetViews>
    <sheetView showGridLines="0"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10" sqref="H10"/>
    </sheetView>
  </sheetViews>
  <sheetFormatPr defaultColWidth="10.88671875" defaultRowHeight="18" customHeight="1" x14ac:dyDescent="0.3"/>
  <cols>
    <col min="1" max="1" width="1.6640625" style="5" customWidth="1"/>
    <col min="2" max="2" width="20.5546875" style="4" customWidth="1"/>
    <col min="3" max="3" width="57.88671875" style="5" bestFit="1" customWidth="1"/>
    <col min="4" max="4" width="9" style="4" customWidth="1"/>
    <col min="5" max="5" width="11.109375" style="5" customWidth="1"/>
    <col min="6" max="15" width="10.88671875" style="5"/>
    <col min="16" max="16" width="10.88671875" style="21"/>
    <col min="17" max="17" width="12.109375" style="5" customWidth="1"/>
    <col min="18" max="16384" width="10.88671875" style="5"/>
  </cols>
  <sheetData>
    <row r="1" spans="2:18" ht="30.6" customHeight="1" x14ac:dyDescent="0.3">
      <c r="B1" s="51" t="s">
        <v>0</v>
      </c>
      <c r="C1" s="52"/>
      <c r="D1" s="53">
        <v>2025</v>
      </c>
      <c r="E1" s="53"/>
      <c r="F1" s="53"/>
      <c r="G1" s="53"/>
      <c r="H1" s="53"/>
      <c r="I1" s="53"/>
      <c r="J1" s="53"/>
      <c r="K1" s="53"/>
      <c r="L1" s="53"/>
      <c r="M1" s="53">
        <v>2026</v>
      </c>
      <c r="N1" s="53"/>
      <c r="O1" s="53"/>
    </row>
    <row r="2" spans="2:18" ht="25.5" customHeight="1" x14ac:dyDescent="0.3">
      <c r="C2" s="28"/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0" t="s">
        <v>11</v>
      </c>
      <c r="O2" s="10" t="s">
        <v>12</v>
      </c>
      <c r="P2" s="22" t="s">
        <v>13</v>
      </c>
      <c r="Q2" s="22" t="s">
        <v>14</v>
      </c>
    </row>
    <row r="3" spans="2:18" ht="18" customHeight="1" x14ac:dyDescent="0.3">
      <c r="B3" s="48" t="s">
        <v>15</v>
      </c>
      <c r="C3" s="19" t="s">
        <v>16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23">
        <f t="shared" ref="P3:Q27" si="0">SUM(D3:O3)</f>
        <v>0</v>
      </c>
      <c r="Q3" s="23">
        <f t="shared" si="0"/>
        <v>0</v>
      </c>
    </row>
    <row r="4" spans="2:18" ht="18" customHeight="1" x14ac:dyDescent="0.3">
      <c r="B4" s="54"/>
      <c r="C4" s="3" t="s">
        <v>17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23">
        <f t="shared" si="0"/>
        <v>0</v>
      </c>
      <c r="Q4" s="23">
        <f t="shared" si="0"/>
        <v>0</v>
      </c>
    </row>
    <row r="5" spans="2:18" ht="18" customHeight="1" x14ac:dyDescent="0.3">
      <c r="B5" s="54"/>
      <c r="C5" s="3" t="s">
        <v>18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23">
        <f t="shared" si="0"/>
        <v>0</v>
      </c>
      <c r="Q5" s="23">
        <f t="shared" si="0"/>
        <v>0</v>
      </c>
    </row>
    <row r="6" spans="2:18" ht="18" customHeight="1" x14ac:dyDescent="0.3">
      <c r="B6" s="54"/>
      <c r="C6" s="3" t="s">
        <v>19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23">
        <f t="shared" si="0"/>
        <v>0</v>
      </c>
      <c r="Q6" s="23">
        <f t="shared" si="0"/>
        <v>0</v>
      </c>
    </row>
    <row r="7" spans="2:18" ht="18" customHeight="1" x14ac:dyDescent="0.3">
      <c r="B7" s="54"/>
      <c r="C7" s="3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23">
        <f t="shared" si="0"/>
        <v>0</v>
      </c>
      <c r="Q7" s="23">
        <f t="shared" si="0"/>
        <v>0</v>
      </c>
    </row>
    <row r="8" spans="2:18" ht="18" customHeight="1" x14ac:dyDescent="0.3">
      <c r="B8" s="54"/>
      <c r="C8" s="25" t="s">
        <v>21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1</v>
      </c>
      <c r="L8" s="7">
        <v>1</v>
      </c>
      <c r="M8" s="7">
        <v>1</v>
      </c>
      <c r="N8" s="7">
        <v>0</v>
      </c>
      <c r="O8" s="7">
        <v>0</v>
      </c>
      <c r="P8" s="35">
        <f t="shared" si="0"/>
        <v>3</v>
      </c>
      <c r="Q8" s="23">
        <v>9</v>
      </c>
    </row>
    <row r="9" spans="2:18" ht="18" customHeight="1" x14ac:dyDescent="0.3">
      <c r="B9" s="55"/>
      <c r="C9" s="3" t="s">
        <v>22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23">
        <f t="shared" si="0"/>
        <v>0</v>
      </c>
      <c r="Q9" s="23" t="s">
        <v>23</v>
      </c>
    </row>
    <row r="10" spans="2:18" ht="18" customHeight="1" x14ac:dyDescent="0.3">
      <c r="B10" s="48" t="s">
        <v>24</v>
      </c>
      <c r="C10" s="26" t="s">
        <v>25</v>
      </c>
      <c r="D10" s="7">
        <v>0</v>
      </c>
      <c r="E10" s="7">
        <v>2</v>
      </c>
      <c r="F10" s="7">
        <v>0</v>
      </c>
      <c r="G10" s="7">
        <v>0</v>
      </c>
      <c r="H10" s="7">
        <v>1</v>
      </c>
      <c r="I10" s="7">
        <v>1</v>
      </c>
      <c r="J10" s="7">
        <v>1</v>
      </c>
      <c r="K10" s="7">
        <v>0</v>
      </c>
      <c r="L10" s="7">
        <v>1</v>
      </c>
      <c r="M10" s="7">
        <v>1</v>
      </c>
      <c r="N10" s="7">
        <v>1</v>
      </c>
      <c r="O10" s="7">
        <v>0</v>
      </c>
      <c r="P10" s="35">
        <f t="shared" si="0"/>
        <v>8</v>
      </c>
      <c r="Q10" s="23">
        <v>7</v>
      </c>
    </row>
    <row r="11" spans="2:18" ht="18" customHeight="1" x14ac:dyDescent="0.3">
      <c r="B11" s="49"/>
      <c r="C11" s="3" t="s">
        <v>26</v>
      </c>
      <c r="D11" s="8">
        <f>D12+D13</f>
        <v>345</v>
      </c>
      <c r="E11" s="8">
        <f t="shared" ref="E11:O11" si="1">E12+E13</f>
        <v>228</v>
      </c>
      <c r="F11" s="8">
        <f t="shared" si="1"/>
        <v>302</v>
      </c>
      <c r="G11" s="8">
        <f t="shared" si="1"/>
        <v>308</v>
      </c>
      <c r="H11" s="8">
        <v>198</v>
      </c>
      <c r="I11" s="8">
        <f t="shared" si="1"/>
        <v>230</v>
      </c>
      <c r="J11" s="8">
        <f t="shared" si="1"/>
        <v>246</v>
      </c>
      <c r="K11" s="8">
        <f t="shared" si="1"/>
        <v>126</v>
      </c>
      <c r="L11" s="8">
        <f t="shared" si="1"/>
        <v>316</v>
      </c>
      <c r="M11" s="8">
        <f t="shared" si="1"/>
        <v>266</v>
      </c>
      <c r="N11" s="8">
        <f t="shared" si="1"/>
        <v>506</v>
      </c>
      <c r="O11" s="8">
        <f t="shared" si="1"/>
        <v>198</v>
      </c>
      <c r="P11" s="34">
        <f t="shared" si="0"/>
        <v>3269</v>
      </c>
      <c r="Q11" s="23">
        <v>3240</v>
      </c>
      <c r="R11" s="41"/>
    </row>
    <row r="12" spans="2:18" ht="18" customHeight="1" x14ac:dyDescent="0.3">
      <c r="B12" s="49"/>
      <c r="C12" s="25" t="s">
        <v>27</v>
      </c>
      <c r="D12" s="7">
        <v>327</v>
      </c>
      <c r="E12" s="7">
        <v>209</v>
      </c>
      <c r="F12" s="7">
        <v>270</v>
      </c>
      <c r="G12" s="7">
        <v>264</v>
      </c>
      <c r="H12" s="7">
        <v>183</v>
      </c>
      <c r="I12" s="7">
        <v>223</v>
      </c>
      <c r="J12" s="7">
        <v>235</v>
      </c>
      <c r="K12" s="7">
        <v>122</v>
      </c>
      <c r="L12" s="7">
        <v>303</v>
      </c>
      <c r="M12" s="7">
        <v>176</v>
      </c>
      <c r="N12" s="12">
        <v>395</v>
      </c>
      <c r="O12" s="7">
        <v>98</v>
      </c>
      <c r="P12" s="24">
        <f t="shared" si="0"/>
        <v>2805</v>
      </c>
      <c r="Q12" s="23" t="s">
        <v>23</v>
      </c>
    </row>
    <row r="13" spans="2:18" ht="18" customHeight="1" x14ac:dyDescent="0.3">
      <c r="B13" s="49"/>
      <c r="C13" s="25" t="s">
        <v>28</v>
      </c>
      <c r="D13" s="7">
        <v>18</v>
      </c>
      <c r="E13" s="7">
        <v>19</v>
      </c>
      <c r="F13" s="7">
        <v>32</v>
      </c>
      <c r="G13" s="7">
        <v>44</v>
      </c>
      <c r="H13" s="7">
        <v>15</v>
      </c>
      <c r="I13" s="7">
        <v>7</v>
      </c>
      <c r="J13" s="7">
        <v>11</v>
      </c>
      <c r="K13" s="7">
        <v>4</v>
      </c>
      <c r="L13" s="7">
        <v>13</v>
      </c>
      <c r="M13" s="7">
        <v>90</v>
      </c>
      <c r="N13" s="40">
        <v>111</v>
      </c>
      <c r="O13" s="7">
        <v>100</v>
      </c>
      <c r="P13" s="24">
        <f t="shared" si="0"/>
        <v>464</v>
      </c>
      <c r="Q13" s="23" t="s">
        <v>23</v>
      </c>
    </row>
    <row r="14" spans="2:18" ht="18" customHeight="1" x14ac:dyDescent="0.3">
      <c r="B14" s="49"/>
      <c r="C14" s="3" t="s">
        <v>29</v>
      </c>
      <c r="D14" s="7">
        <v>51</v>
      </c>
      <c r="E14" s="7">
        <v>66</v>
      </c>
      <c r="F14" s="7">
        <v>68</v>
      </c>
      <c r="G14" s="7">
        <v>68</v>
      </c>
      <c r="H14" s="7">
        <v>60</v>
      </c>
      <c r="I14" s="7">
        <v>66</v>
      </c>
      <c r="J14" s="7">
        <v>72</v>
      </c>
      <c r="K14" s="7">
        <v>60</v>
      </c>
      <c r="L14" s="7">
        <v>56</v>
      </c>
      <c r="M14" s="7">
        <v>67</v>
      </c>
      <c r="N14" s="40">
        <v>60</v>
      </c>
      <c r="O14" s="7">
        <v>62</v>
      </c>
      <c r="P14" s="23">
        <f t="shared" si="0"/>
        <v>756</v>
      </c>
      <c r="Q14" s="23"/>
    </row>
    <row r="15" spans="2:18" ht="18" customHeight="1" x14ac:dyDescent="0.3">
      <c r="B15" s="49"/>
      <c r="C15" s="3" t="s">
        <v>30</v>
      </c>
      <c r="D15" s="7">
        <v>62</v>
      </c>
      <c r="E15" s="7">
        <v>77</v>
      </c>
      <c r="F15" s="7">
        <v>77</v>
      </c>
      <c r="G15" s="7">
        <v>78</v>
      </c>
      <c r="H15" s="7">
        <v>78</v>
      </c>
      <c r="I15" s="7">
        <v>75</v>
      </c>
      <c r="J15" s="7">
        <v>75</v>
      </c>
      <c r="K15" s="7">
        <v>80</v>
      </c>
      <c r="L15" s="7">
        <v>64</v>
      </c>
      <c r="M15" s="7">
        <v>75</v>
      </c>
      <c r="N15" s="40">
        <v>70</v>
      </c>
      <c r="O15" s="7">
        <v>70</v>
      </c>
      <c r="P15" s="23">
        <f t="shared" si="0"/>
        <v>881</v>
      </c>
      <c r="Q15" s="23"/>
    </row>
    <row r="16" spans="2:18" ht="18" customHeight="1" x14ac:dyDescent="0.3">
      <c r="B16" s="49"/>
      <c r="C16" s="3" t="s">
        <v>31</v>
      </c>
      <c r="D16" s="7">
        <v>276</v>
      </c>
      <c r="E16" s="7">
        <v>150</v>
      </c>
      <c r="F16" s="7">
        <v>180</v>
      </c>
      <c r="G16" s="7">
        <v>300</v>
      </c>
      <c r="H16" s="7">
        <v>198</v>
      </c>
      <c r="I16" s="7">
        <v>160</v>
      </c>
      <c r="J16" s="7">
        <v>222</v>
      </c>
      <c r="K16" s="7">
        <v>114</v>
      </c>
      <c r="L16" s="7">
        <v>280</v>
      </c>
      <c r="M16" s="7">
        <v>240</v>
      </c>
      <c r="N16" s="40">
        <v>455</v>
      </c>
      <c r="O16" s="7">
        <v>180</v>
      </c>
      <c r="P16" s="23">
        <f t="shared" si="0"/>
        <v>2755</v>
      </c>
      <c r="Q16" s="23"/>
    </row>
    <row r="17" spans="2:18" ht="18" customHeight="1" x14ac:dyDescent="0.3">
      <c r="B17" s="49"/>
      <c r="C17" s="3" t="s">
        <v>32</v>
      </c>
      <c r="D17" s="7">
        <v>276</v>
      </c>
      <c r="E17" s="7">
        <v>150</v>
      </c>
      <c r="F17" s="7">
        <v>180</v>
      </c>
      <c r="G17" s="7">
        <v>300</v>
      </c>
      <c r="H17" s="7">
        <v>198</v>
      </c>
      <c r="I17" s="7">
        <v>160</v>
      </c>
      <c r="J17" s="7">
        <v>180</v>
      </c>
      <c r="K17" s="7">
        <v>114</v>
      </c>
      <c r="L17" s="7">
        <v>260</v>
      </c>
      <c r="M17" s="7">
        <v>216</v>
      </c>
      <c r="N17" s="40">
        <v>430</v>
      </c>
      <c r="O17" s="7">
        <v>105</v>
      </c>
      <c r="P17" s="23">
        <f t="shared" si="0"/>
        <v>2569</v>
      </c>
      <c r="Q17" s="23"/>
      <c r="R17" s="42">
        <f>P17/P16</f>
        <v>0.93248638838475495</v>
      </c>
    </row>
    <row r="18" spans="2:18" ht="18" customHeight="1" x14ac:dyDescent="0.3">
      <c r="B18" s="49"/>
      <c r="C18" s="3" t="s">
        <v>33</v>
      </c>
      <c r="D18" s="8">
        <f>D19+D20</f>
        <v>750</v>
      </c>
      <c r="E18" s="8">
        <f t="shared" ref="E18:O18" si="2">E19+E20</f>
        <v>1183</v>
      </c>
      <c r="F18" s="8">
        <f t="shared" si="2"/>
        <v>1047</v>
      </c>
      <c r="G18" s="8">
        <f t="shared" si="2"/>
        <v>1437</v>
      </c>
      <c r="H18" s="8">
        <f t="shared" si="2"/>
        <v>440</v>
      </c>
      <c r="I18" s="8">
        <f t="shared" si="2"/>
        <v>1537</v>
      </c>
      <c r="J18" s="8">
        <f t="shared" si="2"/>
        <v>1515</v>
      </c>
      <c r="K18" s="8">
        <f t="shared" si="2"/>
        <v>1600</v>
      </c>
      <c r="L18" s="8">
        <f t="shared" si="2"/>
        <v>1890</v>
      </c>
      <c r="M18" s="8">
        <f t="shared" si="2"/>
        <v>1688</v>
      </c>
      <c r="N18" s="8">
        <f t="shared" si="2"/>
        <v>1581</v>
      </c>
      <c r="O18" s="8">
        <f t="shared" si="2"/>
        <v>1128</v>
      </c>
      <c r="P18" s="23">
        <f t="shared" si="0"/>
        <v>15796</v>
      </c>
      <c r="Q18" s="23"/>
    </row>
    <row r="19" spans="2:18" ht="18" customHeight="1" x14ac:dyDescent="0.3">
      <c r="B19" s="49"/>
      <c r="C19" s="3" t="s">
        <v>34</v>
      </c>
      <c r="D19" s="7">
        <v>29</v>
      </c>
      <c r="E19" s="7">
        <v>166</v>
      </c>
      <c r="F19" s="7">
        <v>87</v>
      </c>
      <c r="G19" s="7">
        <v>32</v>
      </c>
      <c r="H19" s="7">
        <v>20</v>
      </c>
      <c r="I19" s="7">
        <v>77</v>
      </c>
      <c r="J19" s="7">
        <v>95</v>
      </c>
      <c r="K19" s="7">
        <v>194</v>
      </c>
      <c r="L19" s="7">
        <v>210</v>
      </c>
      <c r="M19" s="7">
        <v>204</v>
      </c>
      <c r="N19" s="12">
        <v>201</v>
      </c>
      <c r="O19" s="7">
        <v>78</v>
      </c>
      <c r="P19" s="23">
        <f t="shared" si="0"/>
        <v>1393</v>
      </c>
      <c r="Q19" s="23"/>
    </row>
    <row r="20" spans="2:18" ht="18" customHeight="1" x14ac:dyDescent="0.3">
      <c r="B20" s="50"/>
      <c r="C20" s="3" t="s">
        <v>35</v>
      </c>
      <c r="D20" s="7">
        <v>721</v>
      </c>
      <c r="E20" s="7">
        <v>1017</v>
      </c>
      <c r="F20" s="7">
        <v>960</v>
      </c>
      <c r="G20" s="7">
        <v>1405</v>
      </c>
      <c r="H20" s="7">
        <v>420</v>
      </c>
      <c r="I20" s="7">
        <v>1460</v>
      </c>
      <c r="J20" s="7">
        <v>1420</v>
      </c>
      <c r="K20" s="16">
        <v>1406</v>
      </c>
      <c r="L20" s="7">
        <v>1680</v>
      </c>
      <c r="M20" s="7">
        <v>1484</v>
      </c>
      <c r="N20" s="40">
        <v>1380</v>
      </c>
      <c r="O20" s="7">
        <v>1050</v>
      </c>
      <c r="P20" s="23">
        <f t="shared" si="0"/>
        <v>14403</v>
      </c>
      <c r="Q20" s="23"/>
    </row>
    <row r="21" spans="2:18" ht="18" customHeight="1" x14ac:dyDescent="0.3">
      <c r="B21" s="48" t="s">
        <v>36</v>
      </c>
      <c r="C21" s="3" t="s">
        <v>37</v>
      </c>
      <c r="D21" s="7">
        <v>684</v>
      </c>
      <c r="E21" s="7">
        <v>686</v>
      </c>
      <c r="F21" s="7">
        <v>680</v>
      </c>
      <c r="G21" s="7">
        <v>714</v>
      </c>
      <c r="H21" s="7">
        <v>727</v>
      </c>
      <c r="I21" s="7">
        <v>645</v>
      </c>
      <c r="J21" s="7">
        <v>645</v>
      </c>
      <c r="K21" s="7">
        <v>633</v>
      </c>
      <c r="L21" s="7">
        <v>694</v>
      </c>
      <c r="M21" s="7">
        <v>670</v>
      </c>
      <c r="N21" s="7">
        <v>623</v>
      </c>
      <c r="O21" s="7">
        <v>620</v>
      </c>
      <c r="P21" s="23">
        <f>AVERAGE(D21:O21,D21:O21)</f>
        <v>668.41666666666663</v>
      </c>
      <c r="Q21" s="23"/>
    </row>
    <row r="22" spans="2:18" ht="18" customHeight="1" x14ac:dyDescent="0.3">
      <c r="B22" s="49"/>
      <c r="C22" s="3" t="s">
        <v>38</v>
      </c>
      <c r="D22" s="8">
        <f>D23+D24</f>
        <v>138776.79999999999</v>
      </c>
      <c r="E22" s="8">
        <f t="shared" ref="E22:O22" si="3">E23+E24</f>
        <v>73140.800000000003</v>
      </c>
      <c r="F22" s="8">
        <f t="shared" si="3"/>
        <v>131405.5</v>
      </c>
      <c r="G22" s="14">
        <f t="shared" si="3"/>
        <v>123849.2</v>
      </c>
      <c r="H22" s="32">
        <v>146445</v>
      </c>
      <c r="I22" s="14">
        <f t="shared" si="3"/>
        <v>121346</v>
      </c>
      <c r="J22" s="8">
        <f t="shared" si="3"/>
        <v>124500</v>
      </c>
      <c r="K22" s="8">
        <f t="shared" si="3"/>
        <v>118352.60000000018</v>
      </c>
      <c r="L22" s="8">
        <f t="shared" si="3"/>
        <v>149200</v>
      </c>
      <c r="M22" s="8">
        <f t="shared" si="3"/>
        <v>131335</v>
      </c>
      <c r="N22" s="8">
        <f t="shared" si="3"/>
        <v>108946</v>
      </c>
      <c r="O22" s="8">
        <f t="shared" si="3"/>
        <v>115583</v>
      </c>
      <c r="P22" s="23">
        <f t="shared" si="0"/>
        <v>1482879.9000000004</v>
      </c>
      <c r="Q22" s="23"/>
    </row>
    <row r="23" spans="2:18" ht="18" customHeight="1" x14ac:dyDescent="0.3">
      <c r="B23" s="49"/>
      <c r="C23" s="3" t="s">
        <v>39</v>
      </c>
      <c r="D23" s="7">
        <v>34471.1</v>
      </c>
      <c r="E23" s="7">
        <v>27938.3</v>
      </c>
      <c r="F23" s="7">
        <v>32817</v>
      </c>
      <c r="G23" s="7">
        <v>9696.2999999999993</v>
      </c>
      <c r="H23" s="12">
        <v>34666</v>
      </c>
      <c r="I23" s="12">
        <v>31732</v>
      </c>
      <c r="J23" s="7">
        <v>33863</v>
      </c>
      <c r="K23" s="17">
        <v>30896.700000000044</v>
      </c>
      <c r="L23" s="7">
        <v>35081</v>
      </c>
      <c r="M23" s="7">
        <v>31165</v>
      </c>
      <c r="N23" s="12">
        <v>26739</v>
      </c>
      <c r="O23" s="12">
        <v>26380</v>
      </c>
      <c r="P23" s="23">
        <f t="shared" si="0"/>
        <v>355445.4</v>
      </c>
      <c r="Q23" s="23"/>
    </row>
    <row r="24" spans="2:18" ht="18" customHeight="1" x14ac:dyDescent="0.3">
      <c r="B24" s="49"/>
      <c r="C24" s="3" t="s">
        <v>40</v>
      </c>
      <c r="D24" s="7">
        <v>104305.7</v>
      </c>
      <c r="E24" s="7">
        <v>45202.5</v>
      </c>
      <c r="F24" s="7">
        <v>98588.5</v>
      </c>
      <c r="G24" s="7">
        <v>114152.9</v>
      </c>
      <c r="H24" s="12">
        <v>111779</v>
      </c>
      <c r="I24" s="12">
        <v>89614</v>
      </c>
      <c r="J24" s="7">
        <v>90637</v>
      </c>
      <c r="K24" s="17">
        <v>87455.90000000014</v>
      </c>
      <c r="L24" s="7">
        <v>114119</v>
      </c>
      <c r="M24" s="7">
        <v>100170</v>
      </c>
      <c r="N24" s="40">
        <v>82207</v>
      </c>
      <c r="O24" s="40">
        <v>89203</v>
      </c>
      <c r="P24" s="23">
        <f t="shared" si="0"/>
        <v>1127434.5</v>
      </c>
      <c r="Q24" s="23"/>
    </row>
    <row r="25" spans="2:18" ht="18" customHeight="1" x14ac:dyDescent="0.3">
      <c r="B25" s="50"/>
      <c r="C25" s="3" t="s">
        <v>41</v>
      </c>
      <c r="D25" s="7">
        <v>0</v>
      </c>
      <c r="E25" s="7">
        <v>0</v>
      </c>
      <c r="F25" s="7">
        <v>0</v>
      </c>
      <c r="G25" s="7">
        <v>0</v>
      </c>
      <c r="H25" s="12">
        <v>0</v>
      </c>
      <c r="I25" s="7">
        <v>0</v>
      </c>
      <c r="J25" s="7">
        <v>0</v>
      </c>
      <c r="K25" s="12">
        <v>0</v>
      </c>
      <c r="L25" s="12">
        <v>0</v>
      </c>
      <c r="M25" s="7">
        <v>0</v>
      </c>
      <c r="N25" s="7">
        <v>0</v>
      </c>
      <c r="O25" s="7">
        <v>0</v>
      </c>
      <c r="P25" s="23">
        <f t="shared" si="0"/>
        <v>0</v>
      </c>
      <c r="Q25" s="23"/>
    </row>
    <row r="26" spans="2:18" ht="18" customHeight="1" x14ac:dyDescent="0.3">
      <c r="B26" s="48" t="s">
        <v>42</v>
      </c>
      <c r="C26" s="3" t="s">
        <v>43</v>
      </c>
      <c r="D26" s="8">
        <f>(D5/D22) *200000</f>
        <v>0</v>
      </c>
      <c r="E26" s="8">
        <f t="shared" ref="E26:O26" si="4">(E5/E22) *200000</f>
        <v>0</v>
      </c>
      <c r="F26" s="8">
        <f t="shared" si="4"/>
        <v>0</v>
      </c>
      <c r="G26" s="15">
        <f t="shared" si="4"/>
        <v>0</v>
      </c>
      <c r="H26" s="15">
        <f t="shared" si="4"/>
        <v>0</v>
      </c>
      <c r="I26" s="15">
        <f t="shared" si="4"/>
        <v>0</v>
      </c>
      <c r="J26" s="8">
        <f t="shared" si="4"/>
        <v>0</v>
      </c>
      <c r="K26" s="8">
        <f t="shared" si="4"/>
        <v>0</v>
      </c>
      <c r="L26" s="8">
        <f t="shared" si="4"/>
        <v>0</v>
      </c>
      <c r="M26" s="8">
        <f t="shared" si="4"/>
        <v>0</v>
      </c>
      <c r="N26" s="8">
        <f t="shared" si="4"/>
        <v>0</v>
      </c>
      <c r="O26" s="8">
        <f t="shared" si="4"/>
        <v>0</v>
      </c>
      <c r="P26" s="23">
        <f t="shared" si="0"/>
        <v>0</v>
      </c>
      <c r="Q26" s="23"/>
    </row>
    <row r="27" spans="2:18" ht="18" customHeight="1" x14ac:dyDescent="0.3">
      <c r="B27" s="49"/>
      <c r="C27" s="3" t="s">
        <v>44</v>
      </c>
      <c r="D27" s="8">
        <f>((D3+D5+D6+D7)/D22)*200000</f>
        <v>0</v>
      </c>
      <c r="E27" s="8">
        <f t="shared" ref="E27:O27" si="5">((E3+E5+E6+E7)/E22)*200000</f>
        <v>0</v>
      </c>
      <c r="F27" s="8">
        <f t="shared" si="5"/>
        <v>0</v>
      </c>
      <c r="G27" s="8">
        <f t="shared" si="5"/>
        <v>0</v>
      </c>
      <c r="H27" s="8">
        <f t="shared" si="5"/>
        <v>0</v>
      </c>
      <c r="I27" s="8">
        <f t="shared" si="5"/>
        <v>0</v>
      </c>
      <c r="J27" s="8">
        <f t="shared" si="5"/>
        <v>0</v>
      </c>
      <c r="K27" s="8">
        <f t="shared" si="5"/>
        <v>0</v>
      </c>
      <c r="L27" s="8">
        <f t="shared" si="5"/>
        <v>0</v>
      </c>
      <c r="M27" s="8">
        <f t="shared" si="5"/>
        <v>0</v>
      </c>
      <c r="N27" s="8">
        <f t="shared" si="5"/>
        <v>0</v>
      </c>
      <c r="O27" s="8">
        <f t="shared" si="5"/>
        <v>0</v>
      </c>
      <c r="P27" s="23">
        <f t="shared" si="0"/>
        <v>0</v>
      </c>
      <c r="Q27" s="23"/>
    </row>
    <row r="28" spans="2:18" ht="18" customHeight="1" x14ac:dyDescent="0.3">
      <c r="B28" s="49"/>
      <c r="C28" s="25" t="s">
        <v>45</v>
      </c>
      <c r="D28" s="8">
        <f>(D10/D22)*200000</f>
        <v>0</v>
      </c>
      <c r="E28" s="20">
        <f t="shared" ref="E28:O28" si="6">(E10/E22)*200000</f>
        <v>5.4689038129197378</v>
      </c>
      <c r="F28" s="8">
        <f t="shared" si="6"/>
        <v>0</v>
      </c>
      <c r="G28" s="8">
        <f t="shared" si="6"/>
        <v>0</v>
      </c>
      <c r="H28" s="8">
        <f t="shared" si="6"/>
        <v>1.3657004336098877</v>
      </c>
      <c r="I28" s="8">
        <f t="shared" si="6"/>
        <v>1.6481795856476522</v>
      </c>
      <c r="J28" s="8">
        <f t="shared" si="6"/>
        <v>1.6064257028112452</v>
      </c>
      <c r="K28" s="8">
        <f t="shared" si="6"/>
        <v>0</v>
      </c>
      <c r="L28" s="8">
        <f t="shared" si="6"/>
        <v>1.3404825737265416</v>
      </c>
      <c r="M28" s="8">
        <f t="shared" si="6"/>
        <v>1.5228233144249437</v>
      </c>
      <c r="N28" s="8">
        <f t="shared" si="6"/>
        <v>1.8357718502744478</v>
      </c>
      <c r="O28" s="8">
        <f t="shared" si="6"/>
        <v>0</v>
      </c>
      <c r="P28" s="35">
        <f>AVERAGE(D28:N28)</f>
        <v>1.3443897521285868</v>
      </c>
      <c r="Q28" s="23">
        <v>0.82</v>
      </c>
    </row>
    <row r="29" spans="2:18" ht="18" customHeight="1" x14ac:dyDescent="0.3">
      <c r="B29" s="49"/>
      <c r="C29" s="25" t="s">
        <v>46</v>
      </c>
      <c r="D29" s="9">
        <f>D14/D15</f>
        <v>0.82258064516129037</v>
      </c>
      <c r="E29" s="9">
        <f t="shared" ref="E29:O29" si="7">E14/E15</f>
        <v>0.8571428571428571</v>
      </c>
      <c r="F29" s="9">
        <f t="shared" si="7"/>
        <v>0.88311688311688308</v>
      </c>
      <c r="G29" s="9">
        <f t="shared" si="7"/>
        <v>0.87179487179487181</v>
      </c>
      <c r="H29" s="9">
        <f t="shared" si="7"/>
        <v>0.76923076923076927</v>
      </c>
      <c r="I29" s="9">
        <f t="shared" si="7"/>
        <v>0.88</v>
      </c>
      <c r="J29" s="9">
        <f t="shared" si="7"/>
        <v>0.96</v>
      </c>
      <c r="K29" s="9">
        <f t="shared" si="7"/>
        <v>0.75</v>
      </c>
      <c r="L29" s="9">
        <f t="shared" si="7"/>
        <v>0.875</v>
      </c>
      <c r="M29" s="9">
        <f t="shared" si="7"/>
        <v>0.89333333333333331</v>
      </c>
      <c r="N29" s="9">
        <f t="shared" si="7"/>
        <v>0.8571428571428571</v>
      </c>
      <c r="O29" s="9">
        <f t="shared" si="7"/>
        <v>0.88571428571428568</v>
      </c>
      <c r="P29" s="39">
        <f>AVERAGE(D29:M29)</f>
        <v>0.8562199359780005</v>
      </c>
      <c r="Q29" s="38">
        <v>0.85</v>
      </c>
    </row>
    <row r="30" spans="2:18" ht="18" customHeight="1" x14ac:dyDescent="0.3">
      <c r="B30" s="49"/>
      <c r="C30" s="3" t="s">
        <v>47</v>
      </c>
      <c r="D30" s="9">
        <f>D13/D11</f>
        <v>5.2173913043478258E-2</v>
      </c>
      <c r="E30" s="9">
        <f t="shared" ref="E30:O30" si="8">E13/E11</f>
        <v>8.3333333333333329E-2</v>
      </c>
      <c r="F30" s="9">
        <f t="shared" si="8"/>
        <v>0.10596026490066225</v>
      </c>
      <c r="G30" s="9">
        <f t="shared" si="8"/>
        <v>0.14285714285714285</v>
      </c>
      <c r="H30" s="9">
        <f t="shared" si="8"/>
        <v>7.575757575757576E-2</v>
      </c>
      <c r="I30" s="9">
        <f t="shared" si="8"/>
        <v>3.0434782608695653E-2</v>
      </c>
      <c r="J30" s="9">
        <f t="shared" si="8"/>
        <v>4.4715447154471545E-2</v>
      </c>
      <c r="K30" s="9">
        <f t="shared" si="8"/>
        <v>3.1746031746031744E-2</v>
      </c>
      <c r="L30" s="9">
        <f t="shared" si="8"/>
        <v>4.1139240506329111E-2</v>
      </c>
      <c r="M30" s="9">
        <f t="shared" si="8"/>
        <v>0.33834586466165412</v>
      </c>
      <c r="N30" s="9">
        <f t="shared" si="8"/>
        <v>0.21936758893280633</v>
      </c>
      <c r="O30" s="9">
        <f t="shared" si="8"/>
        <v>0.50505050505050508</v>
      </c>
      <c r="P30" s="39">
        <f t="shared" ref="P30:P31" si="9">AVERAGE(D30:L30)</f>
        <v>6.756863687863561E-2</v>
      </c>
      <c r="Q30" s="23"/>
    </row>
    <row r="31" spans="2:18" ht="18" customHeight="1" x14ac:dyDescent="0.3">
      <c r="B31" s="49"/>
      <c r="C31" s="3" t="s">
        <v>48</v>
      </c>
      <c r="D31" s="9">
        <f>D12/D11</f>
        <v>0.94782608695652171</v>
      </c>
      <c r="E31" s="9">
        <f t="shared" ref="E31:O31" si="10">E12/E11</f>
        <v>0.91666666666666663</v>
      </c>
      <c r="F31" s="9">
        <f t="shared" si="10"/>
        <v>0.89403973509933776</v>
      </c>
      <c r="G31" s="9">
        <f t="shared" si="10"/>
        <v>0.8571428571428571</v>
      </c>
      <c r="H31" s="9">
        <f t="shared" si="10"/>
        <v>0.9242424242424242</v>
      </c>
      <c r="I31" s="9">
        <f t="shared" si="10"/>
        <v>0.9695652173913043</v>
      </c>
      <c r="J31" s="9">
        <f t="shared" si="10"/>
        <v>0.95528455284552849</v>
      </c>
      <c r="K31" s="9">
        <f t="shared" si="10"/>
        <v>0.96825396825396826</v>
      </c>
      <c r="L31" s="9">
        <f t="shared" si="10"/>
        <v>0.95886075949367089</v>
      </c>
      <c r="M31" s="9">
        <f t="shared" si="10"/>
        <v>0.66165413533834583</v>
      </c>
      <c r="N31" s="9">
        <f t="shared" si="10"/>
        <v>0.78063241106719372</v>
      </c>
      <c r="O31" s="9">
        <f t="shared" si="10"/>
        <v>0.49494949494949497</v>
      </c>
      <c r="P31" s="39">
        <f t="shared" si="9"/>
        <v>0.93243136312136443</v>
      </c>
      <c r="Q31" s="23"/>
    </row>
    <row r="32" spans="2:18" ht="18" customHeight="1" x14ac:dyDescent="0.3">
      <c r="B32" s="49"/>
      <c r="C32" s="25" t="s">
        <v>49</v>
      </c>
      <c r="D32" s="9">
        <f>D17/D16</f>
        <v>1</v>
      </c>
      <c r="E32" s="9">
        <f t="shared" ref="E32:O32" si="11">E17/E16</f>
        <v>1</v>
      </c>
      <c r="F32" s="9">
        <f t="shared" si="11"/>
        <v>1</v>
      </c>
      <c r="G32" s="9">
        <f t="shared" si="11"/>
        <v>1</v>
      </c>
      <c r="H32" s="9">
        <f t="shared" si="11"/>
        <v>1</v>
      </c>
      <c r="I32" s="9">
        <f t="shared" si="11"/>
        <v>1</v>
      </c>
      <c r="J32" s="9">
        <f t="shared" si="11"/>
        <v>0.81081081081081086</v>
      </c>
      <c r="K32" s="9">
        <f t="shared" si="11"/>
        <v>1</v>
      </c>
      <c r="L32" s="9">
        <f t="shared" si="11"/>
        <v>0.9285714285714286</v>
      </c>
      <c r="M32" s="9">
        <f t="shared" si="11"/>
        <v>0.9</v>
      </c>
      <c r="N32" s="9">
        <f t="shared" si="11"/>
        <v>0.94505494505494503</v>
      </c>
      <c r="O32" s="9">
        <f t="shared" si="11"/>
        <v>0.58333333333333337</v>
      </c>
      <c r="P32" s="39">
        <f>AVERAGE(D32:L32)</f>
        <v>0.97104247104247099</v>
      </c>
      <c r="Q32" s="23"/>
    </row>
    <row r="33" spans="2:17" ht="18" customHeight="1" x14ac:dyDescent="0.3">
      <c r="B33" s="49"/>
      <c r="C33" s="25" t="s">
        <v>50</v>
      </c>
      <c r="D33" s="8">
        <f>D3+D5+D6+D7</f>
        <v>0</v>
      </c>
      <c r="E33" s="8">
        <f t="shared" ref="E33:O33" si="12">E3+E5+E6+E7</f>
        <v>0</v>
      </c>
      <c r="F33" s="8">
        <f t="shared" si="12"/>
        <v>0</v>
      </c>
      <c r="G33" s="8">
        <f t="shared" si="12"/>
        <v>0</v>
      </c>
      <c r="H33" s="8">
        <f t="shared" si="12"/>
        <v>0</v>
      </c>
      <c r="I33" s="8">
        <f t="shared" si="12"/>
        <v>0</v>
      </c>
      <c r="J33" s="8">
        <f t="shared" si="12"/>
        <v>0</v>
      </c>
      <c r="K33" s="8">
        <f t="shared" si="12"/>
        <v>0</v>
      </c>
      <c r="L33" s="8">
        <f t="shared" si="12"/>
        <v>0</v>
      </c>
      <c r="M33" s="8">
        <f t="shared" si="12"/>
        <v>0</v>
      </c>
      <c r="N33" s="8">
        <f t="shared" si="12"/>
        <v>0</v>
      </c>
      <c r="O33" s="8">
        <f t="shared" si="12"/>
        <v>0</v>
      </c>
      <c r="P33" s="35">
        <f>SUM(D33:O33)</f>
        <v>0</v>
      </c>
      <c r="Q33" s="23">
        <v>0</v>
      </c>
    </row>
    <row r="34" spans="2:17" ht="18" customHeight="1" x14ac:dyDescent="0.3">
      <c r="B34" s="49"/>
      <c r="C34" s="25" t="s">
        <v>51</v>
      </c>
      <c r="D34" s="13">
        <f>D18/D22</f>
        <v>5.4043615359339603E-3</v>
      </c>
      <c r="E34" s="13">
        <f t="shared" ref="E34:O34" si="13">E18/E22</f>
        <v>1.6174283026710125E-2</v>
      </c>
      <c r="F34" s="13">
        <f t="shared" si="13"/>
        <v>7.967703026129043E-3</v>
      </c>
      <c r="G34" s="13">
        <f t="shared" si="13"/>
        <v>1.160282020392542E-2</v>
      </c>
      <c r="H34" s="13">
        <f t="shared" si="13"/>
        <v>3.0045409539417528E-3</v>
      </c>
      <c r="I34" s="13">
        <f t="shared" si="13"/>
        <v>1.2666260115702207E-2</v>
      </c>
      <c r="J34" s="13">
        <f t="shared" si="13"/>
        <v>1.2168674698795181E-2</v>
      </c>
      <c r="K34" s="13">
        <f t="shared" si="13"/>
        <v>1.3518925650978496E-2</v>
      </c>
      <c r="L34" s="13">
        <f t="shared" si="13"/>
        <v>1.2667560321715818E-2</v>
      </c>
      <c r="M34" s="9">
        <f t="shared" si="13"/>
        <v>1.2852628773746527E-2</v>
      </c>
      <c r="N34" s="9">
        <f t="shared" si="13"/>
        <v>1.451177647641951E-2</v>
      </c>
      <c r="O34" s="9">
        <f t="shared" si="13"/>
        <v>9.7592206466348853E-3</v>
      </c>
      <c r="P34" s="36">
        <f>AVERAGE(D34:O34)</f>
        <v>1.1024896285886076E-2</v>
      </c>
      <c r="Q34" s="37">
        <v>1.4999999999999999E-2</v>
      </c>
    </row>
    <row r="35" spans="2:17" ht="24" customHeight="1" x14ac:dyDescent="0.3">
      <c r="B35" s="49"/>
      <c r="C35" s="3" t="s">
        <v>52</v>
      </c>
      <c r="D35" s="9">
        <f>D19/D23</f>
        <v>8.4128443826857863E-4</v>
      </c>
      <c r="E35" s="9">
        <f t="shared" ref="E35:O35" si="14">E19/E23</f>
        <v>5.9416643102837329E-3</v>
      </c>
      <c r="F35" s="9">
        <f t="shared" si="14"/>
        <v>2.6510649968004389E-3</v>
      </c>
      <c r="G35" s="9">
        <f t="shared" si="14"/>
        <v>3.3002279219908628E-3</v>
      </c>
      <c r="H35" s="9">
        <f t="shared" si="14"/>
        <v>5.769341718109964E-4</v>
      </c>
      <c r="I35" s="9">
        <f t="shared" si="14"/>
        <v>2.4265725450649187E-3</v>
      </c>
      <c r="J35" s="9">
        <f t="shared" si="14"/>
        <v>2.8054218468534981E-3</v>
      </c>
      <c r="K35" s="9">
        <f t="shared" si="14"/>
        <v>6.2789877236080135E-3</v>
      </c>
      <c r="L35" s="9">
        <f t="shared" si="14"/>
        <v>5.9861463470254556E-3</v>
      </c>
      <c r="M35" s="9">
        <f t="shared" si="14"/>
        <v>6.5458045884806675E-3</v>
      </c>
      <c r="N35" s="9">
        <f t="shared" si="14"/>
        <v>7.5171098395601932E-3</v>
      </c>
      <c r="O35" s="9">
        <f t="shared" si="14"/>
        <v>2.9567854435178166E-3</v>
      </c>
      <c r="P35" s="23">
        <f>SUM(D35:O35)</f>
        <v>4.7828004173265173E-2</v>
      </c>
      <c r="Q35" s="23"/>
    </row>
    <row r="36" spans="2:17" ht="18" customHeight="1" x14ac:dyDescent="0.3">
      <c r="B36" s="49"/>
      <c r="C36" s="3" t="s">
        <v>53</v>
      </c>
      <c r="D36" s="9">
        <f>D20/D24</f>
        <v>6.9123739162864541E-3</v>
      </c>
      <c r="E36" s="9">
        <f t="shared" ref="E36:O36" si="15">E20/E24</f>
        <v>2.2498755599800895E-2</v>
      </c>
      <c r="F36" s="9">
        <f t="shared" si="15"/>
        <v>9.7374440223758352E-3</v>
      </c>
      <c r="G36" s="9">
        <f t="shared" si="15"/>
        <v>1.2308053496669817E-2</v>
      </c>
      <c r="H36" s="9">
        <f t="shared" si="15"/>
        <v>3.7574141833439196E-3</v>
      </c>
      <c r="I36" s="9">
        <f t="shared" si="15"/>
        <v>1.6292097216952708E-2</v>
      </c>
      <c r="J36" s="9">
        <f t="shared" si="15"/>
        <v>1.5666891004777299E-2</v>
      </c>
      <c r="K36" s="9">
        <f t="shared" si="15"/>
        <v>1.6076674072303843E-2</v>
      </c>
      <c r="L36" s="9">
        <f t="shared" si="15"/>
        <v>1.4721474951585626E-2</v>
      </c>
      <c r="M36" s="9">
        <f t="shared" si="15"/>
        <v>1.4814814814814815E-2</v>
      </c>
      <c r="N36" s="9">
        <f t="shared" si="15"/>
        <v>1.678689162723369E-2</v>
      </c>
      <c r="O36" s="9">
        <f t="shared" si="15"/>
        <v>1.1770904565989932E-2</v>
      </c>
      <c r="P36" s="23">
        <f>SUM(D36:O36)</f>
        <v>0.16134378947213479</v>
      </c>
      <c r="Q36" s="23"/>
    </row>
    <row r="37" spans="2:17" ht="18" customHeight="1" x14ac:dyDescent="0.3">
      <c r="B37" s="50"/>
      <c r="C37" s="3" t="s">
        <v>54</v>
      </c>
      <c r="D37" s="20">
        <f>D18/D21</f>
        <v>1.0964912280701755</v>
      </c>
      <c r="E37" s="20">
        <f t="shared" ref="E37:O37" si="16">E18/E21</f>
        <v>1.7244897959183674</v>
      </c>
      <c r="F37" s="20">
        <f t="shared" si="16"/>
        <v>1.5397058823529413</v>
      </c>
      <c r="G37" s="20">
        <f t="shared" si="16"/>
        <v>2.0126050420168067</v>
      </c>
      <c r="H37" s="20">
        <f t="shared" si="16"/>
        <v>0.60522696011004129</v>
      </c>
      <c r="I37" s="20">
        <f t="shared" si="16"/>
        <v>2.3829457364341087</v>
      </c>
      <c r="J37" s="20">
        <f t="shared" si="16"/>
        <v>2.3488372093023258</v>
      </c>
      <c r="K37" s="20">
        <f t="shared" si="16"/>
        <v>2.5276461295418642</v>
      </c>
      <c r="L37" s="20">
        <f t="shared" si="16"/>
        <v>2.723342939481268</v>
      </c>
      <c r="M37" s="20">
        <f t="shared" si="16"/>
        <v>2.5194029850746267</v>
      </c>
      <c r="N37" s="20">
        <f t="shared" si="16"/>
        <v>2.537720706260032</v>
      </c>
      <c r="O37" s="20">
        <f t="shared" si="16"/>
        <v>1.8193548387096774</v>
      </c>
      <c r="P37" s="23">
        <f>SUM(D37:O37)</f>
        <v>23.837769453272237</v>
      </c>
      <c r="Q37" s="23"/>
    </row>
    <row r="48" spans="2:17" ht="18" customHeight="1" x14ac:dyDescent="0.2">
      <c r="C48" s="1"/>
    </row>
    <row r="49" spans="3:4" ht="18" customHeight="1" x14ac:dyDescent="0.2">
      <c r="C49" s="1"/>
      <c r="D49" s="2"/>
    </row>
    <row r="50" spans="3:4" ht="18" customHeight="1" x14ac:dyDescent="0.2">
      <c r="C50" s="1"/>
    </row>
  </sheetData>
  <mergeCells count="7">
    <mergeCell ref="B21:B25"/>
    <mergeCell ref="B26:B37"/>
    <mergeCell ref="B1:C1"/>
    <mergeCell ref="D1:L1"/>
    <mergeCell ref="M1:O1"/>
    <mergeCell ref="B3:B9"/>
    <mergeCell ref="B10:B20"/>
  </mergeCells>
  <pageMargins left="0.7" right="0.7" top="0.75" bottom="0.75" header="0.3" footer="0.3"/>
  <pageSetup paperSize="9" fitToWidth="0" fitToHeight="0" orientation="landscape" r:id="rId1"/>
  <ignoredErrors>
    <ignoredError sqref="P21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8"/>
  <sheetViews>
    <sheetView showGridLines="0" tabSelected="1" zoomScale="90" zoomScaleNormal="90" workbookViewId="0">
      <pane xSplit="4" ySplit="2" topLeftCell="E24" activePane="bottomRight" state="frozen"/>
      <selection pane="topRight" activeCell="E1" sqref="E1"/>
      <selection pane="bottomLeft" activeCell="A3" sqref="A3"/>
      <selection pane="bottomRight" activeCell="S30" sqref="S30:V39"/>
    </sheetView>
  </sheetViews>
  <sheetFormatPr defaultColWidth="10.88671875" defaultRowHeight="18" customHeight="1" x14ac:dyDescent="0.3"/>
  <cols>
    <col min="1" max="1" width="1.5546875" style="5" customWidth="1"/>
    <col min="2" max="2" width="10.33203125" style="5" customWidth="1"/>
    <col min="3" max="3" width="30.6640625" style="6" customWidth="1"/>
    <col min="4" max="4" width="55.109375" style="5" bestFit="1" customWidth="1"/>
    <col min="5" max="5" width="12.21875" style="4" bestFit="1" customWidth="1"/>
    <col min="6" max="18" width="10.88671875" style="5"/>
    <col min="19" max="19" width="14.6640625" style="5" customWidth="1"/>
    <col min="20" max="20" width="12.21875" style="5" bestFit="1" customWidth="1"/>
    <col min="21" max="16384" width="10.88671875" style="5"/>
  </cols>
  <sheetData>
    <row r="1" spans="2:22" ht="22.2" customHeight="1" x14ac:dyDescent="0.3">
      <c r="E1" s="53">
        <v>2025</v>
      </c>
      <c r="F1" s="53"/>
      <c r="G1" s="53"/>
      <c r="H1" s="53"/>
      <c r="I1" s="53"/>
      <c r="J1" s="53"/>
      <c r="K1" s="53"/>
      <c r="L1" s="53"/>
      <c r="M1" s="53"/>
      <c r="N1" s="53">
        <v>2026</v>
      </c>
      <c r="O1" s="53"/>
      <c r="P1" s="53"/>
    </row>
    <row r="2" spans="2:22" ht="25.5" customHeight="1" x14ac:dyDescent="0.3">
      <c r="B2" s="56" t="s">
        <v>55</v>
      </c>
      <c r="C2" s="57"/>
      <c r="D2" s="58"/>
      <c r="E2" s="10">
        <v>45748</v>
      </c>
      <c r="F2" s="10">
        <v>45778</v>
      </c>
      <c r="G2" s="10">
        <v>45809</v>
      </c>
      <c r="H2" s="10">
        <v>45839</v>
      </c>
      <c r="I2" s="10">
        <v>45870</v>
      </c>
      <c r="J2" s="10">
        <v>45901</v>
      </c>
      <c r="K2" s="10">
        <v>45931</v>
      </c>
      <c r="L2" s="10">
        <v>45962</v>
      </c>
      <c r="M2" s="10">
        <v>45992</v>
      </c>
      <c r="N2" s="10">
        <v>46023</v>
      </c>
      <c r="O2" s="10">
        <v>46054</v>
      </c>
      <c r="P2" s="10">
        <v>46082</v>
      </c>
      <c r="Q2" s="10" t="s">
        <v>13</v>
      </c>
      <c r="R2" s="10" t="s">
        <v>56</v>
      </c>
    </row>
    <row r="3" spans="2:22" ht="18" customHeight="1" x14ac:dyDescent="0.3">
      <c r="B3" s="12" t="s">
        <v>57</v>
      </c>
      <c r="C3" s="3" t="s">
        <v>57</v>
      </c>
      <c r="D3" s="3" t="s">
        <v>58</v>
      </c>
      <c r="E3" s="12">
        <v>1452.46</v>
      </c>
      <c r="F3" s="7">
        <v>1637.96</v>
      </c>
      <c r="G3" s="7">
        <v>1605.26</v>
      </c>
      <c r="H3" s="7">
        <v>1572.7</v>
      </c>
      <c r="I3" s="7">
        <v>1724.08</v>
      </c>
      <c r="J3" s="7">
        <v>1473.88</v>
      </c>
      <c r="K3" s="18">
        <v>1793.24</v>
      </c>
      <c r="L3" s="33">
        <v>1795.53</v>
      </c>
      <c r="M3" s="7">
        <v>1948.27</v>
      </c>
      <c r="N3" s="7">
        <v>1605.27</v>
      </c>
      <c r="O3" s="7">
        <v>1521.12</v>
      </c>
      <c r="P3" s="7">
        <v>1722.66</v>
      </c>
      <c r="Q3" s="23">
        <f>SUM(E3:P3)</f>
        <v>19852.43</v>
      </c>
      <c r="R3" s="11"/>
    </row>
    <row r="4" spans="2:22" ht="18" customHeight="1" x14ac:dyDescent="0.3">
      <c r="B4" s="48" t="s">
        <v>59</v>
      </c>
      <c r="C4" s="62" t="s">
        <v>60</v>
      </c>
      <c r="D4" s="3" t="s">
        <v>61</v>
      </c>
      <c r="E4" s="7">
        <v>620</v>
      </c>
      <c r="F4" s="7">
        <v>4790</v>
      </c>
      <c r="G4" s="7">
        <v>2745</v>
      </c>
      <c r="H4" s="7">
        <v>4757</v>
      </c>
      <c r="I4" s="7">
        <v>2400</v>
      </c>
      <c r="J4" s="7">
        <v>3203</v>
      </c>
      <c r="K4" s="7">
        <v>530</v>
      </c>
      <c r="L4" s="7">
        <v>200</v>
      </c>
      <c r="M4" s="7">
        <v>1010</v>
      </c>
      <c r="N4" s="7">
        <v>295</v>
      </c>
      <c r="O4" s="7">
        <v>2697</v>
      </c>
      <c r="P4" s="7">
        <v>410</v>
      </c>
      <c r="Q4" s="23">
        <f t="shared" ref="Q4:Q38" si="0">SUM(E4:P4)</f>
        <v>23657</v>
      </c>
      <c r="R4" s="11"/>
    </row>
    <row r="5" spans="2:22" ht="18" customHeight="1" x14ac:dyDescent="0.3">
      <c r="B5" s="49"/>
      <c r="C5" s="62"/>
      <c r="D5" s="3" t="s">
        <v>62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23">
        <f t="shared" si="0"/>
        <v>0</v>
      </c>
      <c r="R5" s="11"/>
    </row>
    <row r="6" spans="2:22" ht="18" customHeight="1" x14ac:dyDescent="0.3">
      <c r="B6" s="49"/>
      <c r="C6" s="62"/>
      <c r="D6" s="25" t="s">
        <v>63</v>
      </c>
      <c r="E6" s="12">
        <v>12346.83</v>
      </c>
      <c r="F6" s="7">
        <v>17064.2</v>
      </c>
      <c r="G6" s="7">
        <v>14903.68</v>
      </c>
      <c r="H6" s="7">
        <v>18514.57</v>
      </c>
      <c r="I6" s="7">
        <v>16215.38</v>
      </c>
      <c r="J6" s="7">
        <v>13605.42</v>
      </c>
      <c r="K6" s="7">
        <v>11403.43</v>
      </c>
      <c r="L6" s="7">
        <v>11779.23</v>
      </c>
      <c r="M6" s="7">
        <v>12519.09</v>
      </c>
      <c r="N6" s="7">
        <v>10263.64</v>
      </c>
      <c r="O6" s="43">
        <v>9287.14</v>
      </c>
      <c r="P6" s="44">
        <v>10223.16</v>
      </c>
      <c r="Q6" s="23">
        <f t="shared" si="0"/>
        <v>158125.76999999999</v>
      </c>
      <c r="R6" s="11"/>
      <c r="S6" s="5">
        <f>Q6*0.75</f>
        <v>118594.32749999998</v>
      </c>
      <c r="T6" s="4" t="s">
        <v>64</v>
      </c>
      <c r="U6" s="5">
        <f>S6/1000</f>
        <v>118.59432749999999</v>
      </c>
      <c r="V6" s="5" t="s">
        <v>65</v>
      </c>
    </row>
    <row r="7" spans="2:22" ht="18" customHeight="1" x14ac:dyDescent="0.3">
      <c r="B7" s="49"/>
      <c r="C7" s="62" t="s">
        <v>66</v>
      </c>
      <c r="D7" s="3" t="s">
        <v>67</v>
      </c>
      <c r="E7" s="7">
        <v>693560</v>
      </c>
      <c r="F7" s="7">
        <v>705480</v>
      </c>
      <c r="G7" s="7">
        <v>754000</v>
      </c>
      <c r="H7" s="7">
        <v>661847.75</v>
      </c>
      <c r="I7" s="7">
        <v>565867.87</v>
      </c>
      <c r="J7" s="7">
        <v>379186.71</v>
      </c>
      <c r="K7" s="4">
        <v>407827.29</v>
      </c>
      <c r="L7" s="7">
        <v>331552.33</v>
      </c>
      <c r="M7" s="4">
        <v>459457.14</v>
      </c>
      <c r="N7" s="7">
        <v>366400.75</v>
      </c>
      <c r="O7" s="7">
        <v>254028.5</v>
      </c>
      <c r="P7" s="44">
        <v>352160</v>
      </c>
      <c r="Q7" s="23">
        <f t="shared" si="0"/>
        <v>5931368.3399999999</v>
      </c>
      <c r="R7" s="11"/>
    </row>
    <row r="8" spans="2:22" ht="18" customHeight="1" x14ac:dyDescent="0.3">
      <c r="B8" s="49"/>
      <c r="C8" s="62"/>
      <c r="D8" s="3" t="s">
        <v>68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23">
        <f t="shared" si="0"/>
        <v>0</v>
      </c>
      <c r="R8" s="11"/>
    </row>
    <row r="9" spans="2:22" ht="18" customHeight="1" x14ac:dyDescent="0.3">
      <c r="B9" s="49"/>
      <c r="C9" s="62"/>
      <c r="D9" s="3" t="s">
        <v>69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23">
        <f t="shared" si="0"/>
        <v>0</v>
      </c>
      <c r="R9" s="11"/>
    </row>
    <row r="10" spans="2:22" ht="18" customHeight="1" x14ac:dyDescent="0.3">
      <c r="B10" s="49"/>
      <c r="C10" s="62"/>
      <c r="D10" s="3" t="s">
        <v>70</v>
      </c>
      <c r="E10" s="7">
        <v>105640</v>
      </c>
      <c r="F10" s="7">
        <v>104060</v>
      </c>
      <c r="G10" s="7">
        <v>89200</v>
      </c>
      <c r="H10" s="7">
        <v>86910</v>
      </c>
      <c r="I10" s="7">
        <v>70830</v>
      </c>
      <c r="J10" s="7">
        <v>76880</v>
      </c>
      <c r="K10" s="4">
        <v>67360</v>
      </c>
      <c r="L10" s="7">
        <v>57550</v>
      </c>
      <c r="M10" s="7">
        <v>45810</v>
      </c>
      <c r="N10" s="7">
        <v>50030</v>
      </c>
      <c r="O10" s="7">
        <v>65100</v>
      </c>
      <c r="P10" s="7">
        <v>81360</v>
      </c>
      <c r="Q10" s="23">
        <f t="shared" si="0"/>
        <v>900730</v>
      </c>
      <c r="R10" s="11"/>
    </row>
    <row r="11" spans="2:22" ht="24" customHeight="1" x14ac:dyDescent="0.3">
      <c r="B11" s="49"/>
      <c r="C11" s="3" t="s">
        <v>71</v>
      </c>
      <c r="D11" s="25" t="s">
        <v>72</v>
      </c>
      <c r="E11" s="8">
        <f>E7+E8+E9+E10</f>
        <v>799200</v>
      </c>
      <c r="F11" s="8">
        <f t="shared" ref="F11:P11" si="1">F7+F8+F9+F10</f>
        <v>809540</v>
      </c>
      <c r="G11" s="8">
        <f t="shared" si="1"/>
        <v>843200</v>
      </c>
      <c r="H11" s="8">
        <f t="shared" si="1"/>
        <v>748757.75</v>
      </c>
      <c r="I11" s="8">
        <f t="shared" si="1"/>
        <v>636697.87</v>
      </c>
      <c r="J11" s="8">
        <f t="shared" si="1"/>
        <v>456066.71</v>
      </c>
      <c r="K11" s="8">
        <f t="shared" si="1"/>
        <v>475187.29</v>
      </c>
      <c r="L11" s="8">
        <f t="shared" si="1"/>
        <v>389102.33</v>
      </c>
      <c r="M11" s="8">
        <f t="shared" si="1"/>
        <v>505267.14</v>
      </c>
      <c r="N11" s="8">
        <f t="shared" si="1"/>
        <v>416430.75</v>
      </c>
      <c r="O11" s="8">
        <f t="shared" si="1"/>
        <v>319128.5</v>
      </c>
      <c r="P11" s="8">
        <f t="shared" si="1"/>
        <v>433520</v>
      </c>
      <c r="Q11" s="23"/>
      <c r="R11" s="11"/>
    </row>
    <row r="12" spans="2:22" ht="19.95" customHeight="1" x14ac:dyDescent="0.3">
      <c r="B12" s="50"/>
      <c r="C12" s="3" t="s">
        <v>73</v>
      </c>
      <c r="D12" s="25" t="s">
        <v>74</v>
      </c>
      <c r="E12" s="8">
        <f>E11/E3</f>
        <v>550.23890503008693</v>
      </c>
      <c r="F12" s="8">
        <f t="shared" ref="F12:P12" si="2">F11/F3</f>
        <v>494.2367334977655</v>
      </c>
      <c r="G12" s="8">
        <f t="shared" si="2"/>
        <v>525.27316447179896</v>
      </c>
      <c r="H12" s="8">
        <f t="shared" si="2"/>
        <v>476.09699879188656</v>
      </c>
      <c r="I12" s="8">
        <f t="shared" si="2"/>
        <v>369.29717298501231</v>
      </c>
      <c r="J12" s="8">
        <f t="shared" si="2"/>
        <v>309.43272858034572</v>
      </c>
      <c r="K12" s="8">
        <f t="shared" si="2"/>
        <v>264.98811648189866</v>
      </c>
      <c r="L12" s="8">
        <f t="shared" si="2"/>
        <v>216.70611462910674</v>
      </c>
      <c r="M12" s="8">
        <f t="shared" si="2"/>
        <v>259.34143624856927</v>
      </c>
      <c r="N12" s="8">
        <f t="shared" si="2"/>
        <v>259.41477134687625</v>
      </c>
      <c r="O12" s="8">
        <f t="shared" si="2"/>
        <v>209.79837225202485</v>
      </c>
      <c r="P12" s="8">
        <f t="shared" si="2"/>
        <v>251.65732065526569</v>
      </c>
      <c r="Q12" s="29">
        <f>AVERAGE(E12:M12)</f>
        <v>385.06793007960778</v>
      </c>
      <c r="R12" s="31">
        <v>419.68799999999999</v>
      </c>
    </row>
    <row r="13" spans="2:22" ht="18" customHeight="1" x14ac:dyDescent="0.3">
      <c r="B13" s="59" t="s">
        <v>75</v>
      </c>
      <c r="C13" s="62" t="s">
        <v>76</v>
      </c>
      <c r="D13" s="3" t="s">
        <v>77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23">
        <f t="shared" si="0"/>
        <v>0</v>
      </c>
      <c r="R13" s="11"/>
    </row>
    <row r="14" spans="2:22" ht="18" customHeight="1" x14ac:dyDescent="0.3">
      <c r="B14" s="60"/>
      <c r="C14" s="62"/>
      <c r="D14" s="3" t="s">
        <v>78</v>
      </c>
      <c r="E14" s="7">
        <v>2969</v>
      </c>
      <c r="F14" s="7">
        <v>3371</v>
      </c>
      <c r="G14" s="7">
        <v>3316</v>
      </c>
      <c r="H14" s="7">
        <v>3417</v>
      </c>
      <c r="I14" s="7">
        <v>3493</v>
      </c>
      <c r="J14" s="7">
        <v>3401</v>
      </c>
      <c r="K14" s="7">
        <v>3529</v>
      </c>
      <c r="L14" s="7">
        <v>3428</v>
      </c>
      <c r="M14" s="7">
        <v>3563</v>
      </c>
      <c r="N14" s="7">
        <v>3615</v>
      </c>
      <c r="O14" s="7">
        <v>3259</v>
      </c>
      <c r="P14" s="7">
        <v>3584</v>
      </c>
      <c r="Q14" s="23">
        <f t="shared" si="0"/>
        <v>40945</v>
      </c>
      <c r="R14" s="7"/>
    </row>
    <row r="15" spans="2:22" ht="18" customHeight="1" x14ac:dyDescent="0.3">
      <c r="B15" s="60"/>
      <c r="C15" s="62"/>
      <c r="D15" s="3" t="s">
        <v>79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23">
        <f t="shared" si="0"/>
        <v>0</v>
      </c>
      <c r="R15" s="11"/>
      <c r="S15" s="27"/>
    </row>
    <row r="16" spans="2:22" ht="18" customHeight="1" x14ac:dyDescent="0.3">
      <c r="B16" s="60"/>
      <c r="C16" s="62"/>
      <c r="D16" s="3" t="s">
        <v>80</v>
      </c>
      <c r="E16" s="7">
        <v>340</v>
      </c>
      <c r="F16" s="7">
        <v>580</v>
      </c>
      <c r="G16" s="7">
        <v>400</v>
      </c>
      <c r="H16" s="7">
        <v>470</v>
      </c>
      <c r="I16" s="7">
        <v>950</v>
      </c>
      <c r="J16" s="7">
        <v>650</v>
      </c>
      <c r="K16" s="7">
        <v>620</v>
      </c>
      <c r="L16" s="7">
        <v>580</v>
      </c>
      <c r="M16" s="7">
        <v>610</v>
      </c>
      <c r="N16" s="7">
        <v>540</v>
      </c>
      <c r="O16" s="7">
        <v>480</v>
      </c>
      <c r="P16" s="7">
        <v>620</v>
      </c>
      <c r="Q16" s="23">
        <f t="shared" si="0"/>
        <v>6840</v>
      </c>
      <c r="R16" s="11"/>
    </row>
    <row r="17" spans="2:21" ht="18" customHeight="1" x14ac:dyDescent="0.3">
      <c r="B17" s="60"/>
      <c r="C17" s="62"/>
      <c r="D17" s="3" t="s">
        <v>81</v>
      </c>
      <c r="E17" s="7">
        <v>1591</v>
      </c>
      <c r="F17" s="7">
        <v>2034</v>
      </c>
      <c r="G17" s="7">
        <v>2030</v>
      </c>
      <c r="H17" s="7">
        <v>1907</v>
      </c>
      <c r="I17" s="7">
        <v>2431</v>
      </c>
      <c r="J17" s="7">
        <v>2013</v>
      </c>
      <c r="K17" s="7">
        <v>2081</v>
      </c>
      <c r="L17" s="7">
        <v>2107</v>
      </c>
      <c r="M17" s="7">
        <v>2380</v>
      </c>
      <c r="N17" s="7">
        <v>2202</v>
      </c>
      <c r="O17" s="7">
        <v>1990</v>
      </c>
      <c r="P17" s="7">
        <v>2335</v>
      </c>
      <c r="Q17" s="23">
        <f t="shared" si="0"/>
        <v>25101</v>
      </c>
      <c r="R17" s="7"/>
    </row>
    <row r="18" spans="2:21" ht="18" customHeight="1" x14ac:dyDescent="0.3">
      <c r="B18" s="60"/>
      <c r="C18" s="62" t="s">
        <v>82</v>
      </c>
      <c r="D18" s="3" t="s">
        <v>83</v>
      </c>
      <c r="E18" s="8">
        <f>E13+E14+E15+E16</f>
        <v>3309</v>
      </c>
      <c r="F18" s="8">
        <f t="shared" ref="F18:P18" si="3">F13+F14+F15+F16</f>
        <v>3951</v>
      </c>
      <c r="G18" s="8">
        <f t="shared" si="3"/>
        <v>3716</v>
      </c>
      <c r="H18" s="8">
        <f t="shared" si="3"/>
        <v>3887</v>
      </c>
      <c r="I18" s="8">
        <f t="shared" si="3"/>
        <v>4443</v>
      </c>
      <c r="J18" s="8">
        <f t="shared" si="3"/>
        <v>4051</v>
      </c>
      <c r="K18" s="8">
        <f t="shared" si="3"/>
        <v>4149</v>
      </c>
      <c r="L18" s="8">
        <f t="shared" si="3"/>
        <v>4008</v>
      </c>
      <c r="M18" s="8">
        <f t="shared" si="3"/>
        <v>4173</v>
      </c>
      <c r="N18" s="8">
        <f t="shared" si="3"/>
        <v>4155</v>
      </c>
      <c r="O18" s="8">
        <f t="shared" si="3"/>
        <v>3739</v>
      </c>
      <c r="P18" s="8">
        <f t="shared" si="3"/>
        <v>4204</v>
      </c>
      <c r="Q18" s="23">
        <f t="shared" si="0"/>
        <v>47785</v>
      </c>
      <c r="R18" s="11"/>
    </row>
    <row r="19" spans="2:21" ht="18" customHeight="1" x14ac:dyDescent="0.3">
      <c r="B19" s="60"/>
      <c r="C19" s="62"/>
      <c r="D19" s="3" t="s">
        <v>84</v>
      </c>
      <c r="E19" s="8">
        <f>E13+E14+E15+E16+E17</f>
        <v>4900</v>
      </c>
      <c r="F19" s="8">
        <f t="shared" ref="F19:P19" si="4">F13+F14+F15+F16+F17</f>
        <v>5985</v>
      </c>
      <c r="G19" s="8">
        <f t="shared" si="4"/>
        <v>5746</v>
      </c>
      <c r="H19" s="8">
        <f t="shared" si="4"/>
        <v>5794</v>
      </c>
      <c r="I19" s="8">
        <f t="shared" si="4"/>
        <v>6874</v>
      </c>
      <c r="J19" s="8">
        <f t="shared" si="4"/>
        <v>6064</v>
      </c>
      <c r="K19" s="8">
        <f t="shared" si="4"/>
        <v>6230</v>
      </c>
      <c r="L19" s="8">
        <f t="shared" si="4"/>
        <v>6115</v>
      </c>
      <c r="M19" s="8">
        <f t="shared" si="4"/>
        <v>6553</v>
      </c>
      <c r="N19" s="8">
        <f t="shared" si="4"/>
        <v>6357</v>
      </c>
      <c r="O19" s="8">
        <f t="shared" si="4"/>
        <v>5729</v>
      </c>
      <c r="P19" s="8">
        <f t="shared" si="4"/>
        <v>6539</v>
      </c>
      <c r="Q19" s="23">
        <f t="shared" si="0"/>
        <v>72886</v>
      </c>
      <c r="R19" s="11"/>
    </row>
    <row r="20" spans="2:21" ht="18" customHeight="1" x14ac:dyDescent="0.3">
      <c r="B20" s="60"/>
      <c r="C20" s="62"/>
      <c r="D20" s="3" t="s">
        <v>85</v>
      </c>
      <c r="E20" s="9">
        <f>E17/E19</f>
        <v>0.32469387755102042</v>
      </c>
      <c r="F20" s="9">
        <f t="shared" ref="F20:P20" si="5">F17/F19</f>
        <v>0.3398496240601504</v>
      </c>
      <c r="G20" s="9">
        <f t="shared" si="5"/>
        <v>0.3532892446919596</v>
      </c>
      <c r="H20" s="9">
        <f t="shared" si="5"/>
        <v>0.32913358646876079</v>
      </c>
      <c r="I20" s="9">
        <f t="shared" si="5"/>
        <v>0.35365144020948502</v>
      </c>
      <c r="J20" s="9">
        <f t="shared" si="5"/>
        <v>0.33195910290237468</v>
      </c>
      <c r="K20" s="9">
        <f t="shared" si="5"/>
        <v>0.33402889245585876</v>
      </c>
      <c r="L20" s="9">
        <f t="shared" si="5"/>
        <v>0.34456255110384298</v>
      </c>
      <c r="M20" s="9">
        <f t="shared" si="5"/>
        <v>0.36319243094765757</v>
      </c>
      <c r="N20" s="9">
        <f t="shared" si="5"/>
        <v>0.34638980651250589</v>
      </c>
      <c r="O20" s="9">
        <f t="shared" si="5"/>
        <v>0.34735555943445628</v>
      </c>
      <c r="P20" s="9">
        <f t="shared" si="5"/>
        <v>0.35708823979201715</v>
      </c>
      <c r="Q20" s="30">
        <f>Q17/Q19</f>
        <v>0.34438712509947039</v>
      </c>
      <c r="R20" s="11"/>
    </row>
    <row r="21" spans="2:21" ht="18" customHeight="1" x14ac:dyDescent="0.3">
      <c r="B21" s="60"/>
      <c r="C21" s="62"/>
      <c r="D21" s="3" t="s">
        <v>86</v>
      </c>
      <c r="E21" s="8">
        <f>E18/E3</f>
        <v>2.2782038748055022</v>
      </c>
      <c r="F21" s="8">
        <f t="shared" ref="F21:Q21" si="6">F18/F3</f>
        <v>2.4121468167720823</v>
      </c>
      <c r="G21" s="8">
        <f t="shared" si="6"/>
        <v>2.3148897997832125</v>
      </c>
      <c r="H21" s="8">
        <f t="shared" si="6"/>
        <v>2.4715457493482544</v>
      </c>
      <c r="I21" s="8">
        <f t="shared" si="6"/>
        <v>2.5770265880933598</v>
      </c>
      <c r="J21" s="8">
        <f t="shared" si="6"/>
        <v>2.7485276956061551</v>
      </c>
      <c r="K21" s="8">
        <f t="shared" si="6"/>
        <v>2.3136891882848922</v>
      </c>
      <c r="L21" s="8">
        <f t="shared" si="6"/>
        <v>2.2322099881372073</v>
      </c>
      <c r="M21" s="8">
        <f t="shared" si="6"/>
        <v>2.1419002499653539</v>
      </c>
      <c r="N21" s="8">
        <f t="shared" si="6"/>
        <v>2.5883496234278347</v>
      </c>
      <c r="O21" s="8">
        <f t="shared" si="6"/>
        <v>2.4580572209950566</v>
      </c>
      <c r="P21" s="8">
        <f t="shared" si="6"/>
        <v>2.4404119210987658</v>
      </c>
      <c r="Q21" s="7">
        <f t="shared" si="6"/>
        <v>2.4070101242014204</v>
      </c>
      <c r="R21" s="31">
        <v>2.57</v>
      </c>
    </row>
    <row r="22" spans="2:21" ht="24" customHeight="1" x14ac:dyDescent="0.3">
      <c r="B22" s="60"/>
      <c r="C22" s="62" t="s">
        <v>87</v>
      </c>
      <c r="D22" s="3" t="s">
        <v>88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23">
        <f t="shared" si="0"/>
        <v>0</v>
      </c>
      <c r="R22" s="11"/>
    </row>
    <row r="23" spans="2:21" ht="24.45" customHeight="1" x14ac:dyDescent="0.3">
      <c r="B23" s="60"/>
      <c r="C23" s="62"/>
      <c r="D23" s="3" t="s">
        <v>89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23">
        <f t="shared" si="0"/>
        <v>0</v>
      </c>
      <c r="R23" s="11"/>
    </row>
    <row r="24" spans="2:21" ht="18" customHeight="1" x14ac:dyDescent="0.3">
      <c r="B24" s="60"/>
      <c r="C24" s="62"/>
      <c r="D24" s="3" t="s">
        <v>90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23">
        <f t="shared" si="0"/>
        <v>0</v>
      </c>
      <c r="R24" s="11"/>
    </row>
    <row r="25" spans="2:21" ht="18" customHeight="1" x14ac:dyDescent="0.3">
      <c r="B25" s="60"/>
      <c r="C25" s="62"/>
      <c r="D25" s="3" t="s">
        <v>91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23">
        <f t="shared" si="0"/>
        <v>0</v>
      </c>
      <c r="R25" s="11"/>
    </row>
    <row r="26" spans="2:21" ht="18" customHeight="1" x14ac:dyDescent="0.3">
      <c r="B26" s="60"/>
      <c r="C26" s="62"/>
      <c r="D26" s="3" t="s">
        <v>92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23">
        <f t="shared" si="0"/>
        <v>0</v>
      </c>
      <c r="R26" s="11"/>
    </row>
    <row r="27" spans="2:21" ht="18" customHeight="1" x14ac:dyDescent="0.3">
      <c r="B27" s="61"/>
      <c r="C27" s="62"/>
      <c r="D27" s="3" t="s">
        <v>93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23">
        <f t="shared" si="0"/>
        <v>0</v>
      </c>
      <c r="R27" s="11"/>
    </row>
    <row r="28" spans="2:21" ht="18" customHeight="1" x14ac:dyDescent="0.3">
      <c r="B28" s="59" t="s">
        <v>94</v>
      </c>
      <c r="C28" s="62" t="s">
        <v>95</v>
      </c>
      <c r="D28" s="3" t="s">
        <v>96</v>
      </c>
      <c r="E28" s="12">
        <v>36825.949999999997</v>
      </c>
      <c r="F28" s="12">
        <v>51101.32</v>
      </c>
      <c r="G28" s="7">
        <v>42917.3</v>
      </c>
      <c r="H28" s="7">
        <v>52914.400000000001</v>
      </c>
      <c r="I28" s="7">
        <v>45909.2</v>
      </c>
      <c r="J28" s="7">
        <v>51166.3</v>
      </c>
      <c r="K28" s="7">
        <v>45784.1</v>
      </c>
      <c r="L28" s="7">
        <v>0</v>
      </c>
      <c r="M28" s="7">
        <v>79094.100000000006</v>
      </c>
      <c r="N28" s="7">
        <v>44752.4</v>
      </c>
      <c r="O28" s="7">
        <v>38046.400000000001</v>
      </c>
      <c r="P28" s="7">
        <v>32369.8</v>
      </c>
      <c r="Q28" s="23">
        <f t="shared" si="0"/>
        <v>520881.26999999996</v>
      </c>
      <c r="R28" s="11"/>
    </row>
    <row r="29" spans="2:21" ht="18" customHeight="1" x14ac:dyDescent="0.3">
      <c r="B29" s="60"/>
      <c r="C29" s="62"/>
      <c r="D29" s="3" t="s">
        <v>97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23">
        <f t="shared" si="0"/>
        <v>0</v>
      </c>
      <c r="R29" s="11"/>
    </row>
    <row r="30" spans="2:21" ht="18" customHeight="1" x14ac:dyDescent="0.3">
      <c r="B30" s="60"/>
      <c r="C30" s="62"/>
      <c r="D30" s="3" t="s">
        <v>98</v>
      </c>
      <c r="E30" s="7">
        <v>2000</v>
      </c>
      <c r="F30" s="7">
        <v>2000</v>
      </c>
      <c r="G30" s="7">
        <v>2000</v>
      </c>
      <c r="H30" s="7">
        <v>2000</v>
      </c>
      <c r="I30" s="7">
        <v>2000</v>
      </c>
      <c r="J30" s="7">
        <v>2000</v>
      </c>
      <c r="K30" s="7">
        <v>2000</v>
      </c>
      <c r="L30" s="7">
        <v>2000</v>
      </c>
      <c r="M30" s="7">
        <v>2000</v>
      </c>
      <c r="N30" s="7">
        <v>2000</v>
      </c>
      <c r="O30" s="7">
        <v>2000</v>
      </c>
      <c r="P30" s="7">
        <v>2000</v>
      </c>
      <c r="Q30" s="23">
        <f t="shared" si="0"/>
        <v>24000</v>
      </c>
      <c r="R30" s="11"/>
      <c r="S30" s="4"/>
      <c r="U30" s="46"/>
    </row>
    <row r="31" spans="2:21" ht="18" customHeight="1" x14ac:dyDescent="0.3">
      <c r="B31" s="60"/>
      <c r="C31" s="62"/>
      <c r="D31" s="3" t="s">
        <v>99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23">
        <f t="shared" si="0"/>
        <v>0</v>
      </c>
      <c r="R31" s="11"/>
    </row>
    <row r="32" spans="2:21" ht="18" customHeight="1" x14ac:dyDescent="0.3">
      <c r="B32" s="60"/>
      <c r="C32" s="62"/>
      <c r="D32" s="3" t="s">
        <v>100</v>
      </c>
      <c r="E32" s="7">
        <v>48</v>
      </c>
      <c r="F32" s="7">
        <v>50</v>
      </c>
      <c r="G32" s="7">
        <v>70</v>
      </c>
      <c r="H32" s="7">
        <v>0</v>
      </c>
      <c r="I32" s="7">
        <v>0</v>
      </c>
      <c r="J32" s="7">
        <v>0</v>
      </c>
      <c r="K32" s="7">
        <v>0</v>
      </c>
      <c r="L32" s="7">
        <v>40</v>
      </c>
      <c r="M32" s="7">
        <v>235</v>
      </c>
      <c r="N32" s="7">
        <v>106</v>
      </c>
      <c r="O32" s="7">
        <v>0</v>
      </c>
      <c r="P32" s="7">
        <v>91.2</v>
      </c>
      <c r="Q32" s="23">
        <f t="shared" si="0"/>
        <v>640.20000000000005</v>
      </c>
      <c r="R32" s="11"/>
    </row>
    <row r="33" spans="2:20" ht="18" customHeight="1" x14ac:dyDescent="0.3">
      <c r="B33" s="60"/>
      <c r="C33" s="62" t="s">
        <v>101</v>
      </c>
      <c r="D33" s="3" t="s">
        <v>102</v>
      </c>
      <c r="E33" s="7">
        <v>0</v>
      </c>
      <c r="F33" s="12">
        <v>10258</v>
      </c>
      <c r="G33" s="7">
        <v>0</v>
      </c>
      <c r="H33" s="7">
        <v>0</v>
      </c>
      <c r="I33" s="7">
        <v>4995</v>
      </c>
      <c r="J33" s="7">
        <v>0</v>
      </c>
      <c r="K33" s="7">
        <v>0</v>
      </c>
      <c r="L33" s="7">
        <v>5550</v>
      </c>
      <c r="M33" s="7">
        <v>0</v>
      </c>
      <c r="N33" s="7">
        <v>0</v>
      </c>
      <c r="O33" s="7">
        <v>7630</v>
      </c>
      <c r="P33" s="7">
        <v>0</v>
      </c>
      <c r="Q33" s="23">
        <f t="shared" si="0"/>
        <v>28433</v>
      </c>
      <c r="R33" s="11"/>
    </row>
    <row r="34" spans="2:20" ht="18" customHeight="1" x14ac:dyDescent="0.3">
      <c r="B34" s="60"/>
      <c r="C34" s="62"/>
      <c r="D34" s="3" t="s">
        <v>103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23">
        <f t="shared" si="0"/>
        <v>0</v>
      </c>
      <c r="R34" s="11"/>
    </row>
    <row r="35" spans="2:20" ht="18" customHeight="1" x14ac:dyDescent="0.3">
      <c r="B35" s="60"/>
      <c r="C35" s="62"/>
      <c r="D35" s="3" t="s">
        <v>104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23">
        <f t="shared" si="0"/>
        <v>0</v>
      </c>
      <c r="R35" s="11"/>
    </row>
    <row r="36" spans="2:20" ht="24.75" customHeight="1" x14ac:dyDescent="0.3">
      <c r="B36" s="60"/>
      <c r="C36" s="62"/>
      <c r="D36" s="3" t="s">
        <v>105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23">
        <f t="shared" si="0"/>
        <v>0</v>
      </c>
      <c r="R36" s="11"/>
    </row>
    <row r="37" spans="2:20" ht="18" customHeight="1" x14ac:dyDescent="0.3">
      <c r="B37" s="60"/>
      <c r="C37" s="62"/>
      <c r="D37" s="3" t="s">
        <v>106</v>
      </c>
      <c r="E37" s="7">
        <v>10.050000000000001</v>
      </c>
      <c r="F37" s="7">
        <v>23.3</v>
      </c>
      <c r="G37" s="7">
        <v>19.899999999999999</v>
      </c>
      <c r="H37" s="7">
        <v>27.05</v>
      </c>
      <c r="I37" s="7">
        <v>29.6</v>
      </c>
      <c r="J37" s="7">
        <v>20.5</v>
      </c>
      <c r="K37" s="7">
        <v>11.1</v>
      </c>
      <c r="L37" s="7">
        <v>17.8</v>
      </c>
      <c r="M37" s="7">
        <v>46.6</v>
      </c>
      <c r="N37" s="7">
        <v>15.1</v>
      </c>
      <c r="O37" s="7">
        <v>11</v>
      </c>
      <c r="P37" s="7">
        <v>13.3</v>
      </c>
      <c r="Q37" s="23">
        <f t="shared" si="0"/>
        <v>245.3</v>
      </c>
      <c r="R37" s="11"/>
    </row>
    <row r="38" spans="2:20" ht="18" customHeight="1" x14ac:dyDescent="0.3">
      <c r="B38" s="60"/>
      <c r="C38" s="62" t="s">
        <v>107</v>
      </c>
      <c r="D38" s="3" t="s">
        <v>108</v>
      </c>
      <c r="E38" s="8">
        <f>(E28+E29+E30+E31+E32+E33+E34+E35+E37+E36)/1000</f>
        <v>38.884</v>
      </c>
      <c r="F38" s="8">
        <f t="shared" ref="F38:P38" si="7">(F28+F29+F30+F31+F32+F33+F34+F35+F37+F36)/1000</f>
        <v>63.43262</v>
      </c>
      <c r="G38" s="8">
        <f t="shared" si="7"/>
        <v>45.007200000000005</v>
      </c>
      <c r="H38" s="8">
        <f t="shared" si="7"/>
        <v>54.941450000000003</v>
      </c>
      <c r="I38" s="8">
        <f t="shared" si="7"/>
        <v>52.933799999999998</v>
      </c>
      <c r="J38" s="8">
        <f t="shared" si="7"/>
        <v>53.186800000000005</v>
      </c>
      <c r="K38" s="8">
        <f t="shared" si="7"/>
        <v>47.795199999999994</v>
      </c>
      <c r="L38" s="8">
        <f t="shared" si="7"/>
        <v>7.6078000000000001</v>
      </c>
      <c r="M38" s="8">
        <f t="shared" si="7"/>
        <v>81.375700000000009</v>
      </c>
      <c r="N38" s="8">
        <f t="shared" si="7"/>
        <v>46.8735</v>
      </c>
      <c r="O38" s="8">
        <f t="shared" si="7"/>
        <v>47.687400000000004</v>
      </c>
      <c r="P38" s="8">
        <f t="shared" si="7"/>
        <v>34.474299999999999</v>
      </c>
      <c r="Q38" s="23">
        <f t="shared" si="0"/>
        <v>574.19976999999994</v>
      </c>
      <c r="R38" s="11"/>
    </row>
    <row r="39" spans="2:20" ht="18" customHeight="1" x14ac:dyDescent="0.3">
      <c r="B39" s="60"/>
      <c r="C39" s="62"/>
      <c r="D39" s="3" t="s">
        <v>109</v>
      </c>
      <c r="E39" s="8">
        <f>E28+E29+E30+E31+E32+E33+E34+E35+E36+E37</f>
        <v>38884</v>
      </c>
      <c r="F39" s="8">
        <f t="shared" ref="F39:P39" si="8">F28+F29+F30+F31+F32+F33+F34+F35+F36+F37</f>
        <v>63432.62</v>
      </c>
      <c r="G39" s="8">
        <f t="shared" si="8"/>
        <v>45007.200000000004</v>
      </c>
      <c r="H39" s="8">
        <f t="shared" si="8"/>
        <v>54941.450000000004</v>
      </c>
      <c r="I39" s="8">
        <f t="shared" si="8"/>
        <v>52933.799999999996</v>
      </c>
      <c r="J39" s="8">
        <f t="shared" si="8"/>
        <v>53186.8</v>
      </c>
      <c r="K39" s="8">
        <f t="shared" si="8"/>
        <v>47795.199999999997</v>
      </c>
      <c r="L39" s="8">
        <f t="shared" si="8"/>
        <v>7607.8</v>
      </c>
      <c r="M39" s="8">
        <f t="shared" si="8"/>
        <v>81375.700000000012</v>
      </c>
      <c r="N39" s="8">
        <f t="shared" si="8"/>
        <v>46873.5</v>
      </c>
      <c r="O39" s="8">
        <f t="shared" si="8"/>
        <v>47687.4</v>
      </c>
      <c r="P39" s="8">
        <f t="shared" si="8"/>
        <v>34474.300000000003</v>
      </c>
      <c r="Q39" s="23">
        <f>AVERAGE(E39:P39)</f>
        <v>47849.980833333335</v>
      </c>
      <c r="R39" s="11"/>
      <c r="S39" s="4"/>
      <c r="T39" s="45"/>
    </row>
    <row r="40" spans="2:20" ht="18" customHeight="1" x14ac:dyDescent="0.3">
      <c r="B40" s="61"/>
      <c r="C40" s="62"/>
      <c r="D40" s="3" t="s">
        <v>110</v>
      </c>
      <c r="E40" s="8">
        <f>E39/E3</f>
        <v>26.771133112099474</v>
      </c>
      <c r="F40" s="8">
        <f t="shared" ref="F40:P40" si="9">F39/F3</f>
        <v>38.72659894014506</v>
      </c>
      <c r="G40" s="8">
        <f t="shared" si="9"/>
        <v>28.037327286545484</v>
      </c>
      <c r="H40" s="8">
        <f t="shared" si="9"/>
        <v>34.934475742353918</v>
      </c>
      <c r="I40" s="8">
        <f t="shared" si="9"/>
        <v>30.702635608556445</v>
      </c>
      <c r="J40" s="8">
        <f t="shared" si="9"/>
        <v>36.086248541265235</v>
      </c>
      <c r="K40" s="8">
        <f t="shared" si="9"/>
        <v>26.652985657246099</v>
      </c>
      <c r="L40" s="8">
        <f t="shared" si="9"/>
        <v>4.2370776316742136</v>
      </c>
      <c r="M40" s="8">
        <f t="shared" si="9"/>
        <v>41.768184081261843</v>
      </c>
      <c r="N40" s="8">
        <f t="shared" si="9"/>
        <v>29.19976078790484</v>
      </c>
      <c r="O40" s="8">
        <f t="shared" si="9"/>
        <v>31.350189334174821</v>
      </c>
      <c r="P40" s="8">
        <f t="shared" si="9"/>
        <v>20.012248499413698</v>
      </c>
      <c r="Q40" s="23">
        <f>AVERAGE(E40:P40)</f>
        <v>29.039905435220096</v>
      </c>
      <c r="R40" s="11"/>
    </row>
    <row r="42" spans="2:20" ht="18" customHeight="1" x14ac:dyDescent="0.3"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4" spans="2:20" ht="18" customHeight="1" x14ac:dyDescent="0.2">
      <c r="B44" s="1"/>
      <c r="D44" s="1"/>
    </row>
    <row r="48" spans="2:20" ht="18" customHeight="1" x14ac:dyDescent="0.3">
      <c r="L48" s="4"/>
    </row>
  </sheetData>
  <mergeCells count="14">
    <mergeCell ref="E1:M1"/>
    <mergeCell ref="N1:P1"/>
    <mergeCell ref="B2:D2"/>
    <mergeCell ref="B28:B40"/>
    <mergeCell ref="C28:C32"/>
    <mergeCell ref="C33:C37"/>
    <mergeCell ref="C38:C40"/>
    <mergeCell ref="B4:B12"/>
    <mergeCell ref="C4:C6"/>
    <mergeCell ref="C7:C10"/>
    <mergeCell ref="B13:B27"/>
    <mergeCell ref="C13:C17"/>
    <mergeCell ref="C18:C21"/>
    <mergeCell ref="C22:C27"/>
  </mergeCells>
  <pageMargins left="0.7" right="0.7" top="0.75" bottom="0.75" header="0.3" footer="0.3"/>
  <pageSetup paperSize="9" fitToWidth="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811E8293BD344A76E3FE01A741236" ma:contentTypeVersion="13" ma:contentTypeDescription="Create a new document." ma:contentTypeScope="" ma:versionID="d4489eed761d4c7ae1a0a1c6e9f52b4a">
  <xsd:schema xmlns:xsd="http://www.w3.org/2001/XMLSchema" xmlns:xs="http://www.w3.org/2001/XMLSchema" xmlns:p="http://schemas.microsoft.com/office/2006/metadata/properties" xmlns:ns3="9eaf1d9f-8f19-44a9-9d57-06571e9325ef" targetNamespace="http://schemas.microsoft.com/office/2006/metadata/properties" ma:root="true" ma:fieldsID="baf2944cf8309bb41c9da76638206dc1" ns3:_="">
    <xsd:import namespace="9eaf1d9f-8f19-44a9-9d57-06571e9325e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af1d9f-8f19-44a9-9d57-06571e9325e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eaf1d9f-8f19-44a9-9d57-06571e9325ef" xsi:nil="true"/>
  </documentManagement>
</p:properties>
</file>

<file path=customXml/itemProps1.xml><?xml version="1.0" encoding="utf-8"?>
<ds:datastoreItem xmlns:ds="http://schemas.openxmlformats.org/officeDocument/2006/customXml" ds:itemID="{94373D0F-65FB-4EC4-9DD8-279645751C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9D53F3-A6B0-4C68-A57B-3D1ED3BB1F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af1d9f-8f19-44a9-9d57-06571e9325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F88BB7-DFE1-4FC3-8826-C3597C76204F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eaf1d9f-8f19-44a9-9d57-06571e9325ef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H&amp;S</vt:lpstr>
      <vt:lpstr>Environment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Jeevanandham P</dc:creator>
  <cp:keywords/>
  <dc:description/>
  <cp:lastModifiedBy>Chandra Prakash</cp:lastModifiedBy>
  <cp:revision/>
  <dcterms:created xsi:type="dcterms:W3CDTF">2025-03-10T07:11:18Z</dcterms:created>
  <dcterms:modified xsi:type="dcterms:W3CDTF">2026-06-18T06:22:31Z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0x010100136811E8293BD344A76E3FE01A741236</vt:lpwstr>
  </property>
</Properties>
</file>